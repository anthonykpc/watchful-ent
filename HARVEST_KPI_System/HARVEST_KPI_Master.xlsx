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KPI Catalog" sheetId="2" state="visible" r:id="rId2"/>
    <sheet name="2026 Performance Goals" sheetId="3" state="visible" r:id="rId3"/>
    <sheet name="Dashboard — Executive Summary" sheetId="4" state="visible" r:id="rId4"/>
    <sheet name="Dashboard — By OFSA Dimension" sheetId="5" state="visible" r:id="rId5"/>
    <sheet name="Dashboard — By Audience" sheetId="6" state="visible" r:id="rId6"/>
    <sheet name="Food Corridor Import" sheetId="7" state="visible" r:id="rId7"/>
    <sheet name="Data — Food Entrepreneurs" sheetId="8" state="visible" r:id="rId8"/>
    <sheet name="Data — Institution" sheetId="9" state="visible" r:id="rId9"/>
    <sheet name="Data — Community Orgs" sheetId="10" state="visible" r:id="rId10"/>
    <sheet name="Data — Investors-Funders" sheetId="11" state="visible" r:id="rId11"/>
    <sheet name="Data — Farmers" sheetId="12" state="visible" r:id="rId12"/>
    <sheet name="Data — Environmental" sheetId="13" state="visible" r:id="rId13"/>
  </sheets>
  <definedNames/>
  <calcPr calcId="124519" fullCalcOnLoad="1"/>
</workbook>
</file>

<file path=xl/styles.xml><?xml version="1.0" encoding="utf-8"?>
<styleSheet xmlns="http://schemas.openxmlformats.org/spreadsheetml/2006/main">
  <numFmts count="2">
    <numFmt numFmtId="164" formatCode="$#,##0"/>
    <numFmt numFmtId="165" formatCode="yyyy-mm-dd"/>
  </numFmts>
  <fonts count="13">
    <font>
      <name val="Calibri"/>
      <family val="2"/>
      <color theme="1"/>
      <sz val="11"/>
      <scheme val="minor"/>
    </font>
    <font>
      <name val="Calibri"/>
      <b val="1"/>
      <color rgb="00FFFFFF"/>
      <sz val="20"/>
    </font>
    <font>
      <name val="Calibri"/>
      <i val="1"/>
      <color rgb="001B3A2B"/>
      <sz val="11"/>
    </font>
    <font>
      <name val="Calibri"/>
      <b val="1"/>
      <color rgb="002D6A4F"/>
      <sz val="13"/>
    </font>
    <font>
      <name val="Calibri"/>
      <color rgb="001B3A2B"/>
      <sz val="11"/>
    </font>
    <font>
      <name val="Calibri"/>
      <b val="1"/>
      <color rgb="00FFFFFF"/>
      <sz val="11"/>
    </font>
    <font>
      <name val="Calibri"/>
      <b val="1"/>
      <color rgb="00FFFFFF"/>
      <sz val="18"/>
    </font>
    <font>
      <name val="Calibri"/>
      <b val="1"/>
      <color rgb="002D6A4F"/>
      <sz val="10"/>
    </font>
    <font>
      <name val="Calibri"/>
      <b val="1"/>
      <color rgb="001B3A2B"/>
      <sz val="22"/>
    </font>
    <font>
      <name val="Calibri"/>
      <b val="1"/>
      <color rgb="001B3A2B"/>
      <sz val="16"/>
    </font>
    <font>
      <name val="Calibri"/>
      <b val="1"/>
      <color rgb="00FFFFFF"/>
      <sz val="14"/>
    </font>
    <font>
      <name val="Calibri"/>
      <b val="1"/>
      <color rgb="001B3A2B"/>
      <sz val="10"/>
    </font>
    <font>
      <name val="Calibri"/>
      <i val="1"/>
      <color rgb="001B3A2B"/>
      <sz val="10"/>
    </font>
  </fonts>
  <fills count="4">
    <fill>
      <patternFill/>
    </fill>
    <fill>
      <patternFill patternType="gray125"/>
    </fill>
    <fill>
      <patternFill patternType="solid">
        <fgColor rgb="002D6A4F"/>
      </patternFill>
    </fill>
    <fill>
      <patternFill patternType="solid">
        <fgColor rgb="00E8F3EC"/>
      </patternFill>
    </fill>
  </fills>
  <borders count="2">
    <border>
      <left/>
      <right/>
      <top/>
      <bottom/>
      <diagonal/>
    </border>
    <border>
      <left style="thin">
        <color rgb="00B7D9C2"/>
      </left>
      <right style="thin">
        <color rgb="00B7D9C2"/>
      </right>
      <top style="thin">
        <color rgb="00B7D9C2"/>
      </top>
      <bottom style="thin">
        <color rgb="00B7D9C2"/>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vertical="center" wrapText="1"/>
    </xf>
    <xf numFmtId="0" fontId="3" fillId="0" borderId="0" applyAlignment="1" pivotButton="0" quotePrefix="0" xfId="0">
      <alignment vertical="center"/>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2" borderId="0" applyAlignment="1" pivotButton="0" quotePrefix="0" xfId="0">
      <alignment horizontal="left" vertical="center" indent="1"/>
    </xf>
    <xf numFmtId="0" fontId="2" fillId="0" borderId="0" applyAlignment="1" pivotButton="0" quotePrefix="0" xfId="0">
      <alignment vertical="center" indent="1"/>
    </xf>
    <xf numFmtId="0" fontId="4" fillId="0" borderId="0" applyAlignment="1" pivotButton="0" quotePrefix="0" xfId="0">
      <alignment vertical="center" wrapText="1"/>
    </xf>
    <xf numFmtId="9" fontId="4" fillId="0" borderId="0" applyAlignment="1" pivotButton="0" quotePrefix="0" xfId="0">
      <alignment vertical="center" wrapText="1"/>
    </xf>
    <xf numFmtId="0" fontId="0" fillId="0" borderId="0" applyAlignment="1" pivotButton="0" quotePrefix="0" xfId="0">
      <alignment vertical="center" wrapText="1"/>
    </xf>
    <xf numFmtId="0" fontId="7" fillId="3" borderId="0" applyAlignment="1" pivotButton="0" quotePrefix="0" xfId="0">
      <alignment horizontal="left" vertical="center" indent="1"/>
    </xf>
    <xf numFmtId="1" fontId="8" fillId="3" borderId="0" applyAlignment="1" pivotButton="0" quotePrefix="0" xfId="0">
      <alignment horizontal="left" vertical="center" indent="1"/>
    </xf>
    <xf numFmtId="164" fontId="8" fillId="3" borderId="0" applyAlignment="1" pivotButton="0" quotePrefix="0" xfId="0">
      <alignment horizontal="left" vertical="center" indent="1"/>
    </xf>
    <xf numFmtId="0" fontId="3" fillId="0" borderId="0" pivotButton="0" quotePrefix="0" xfId="0"/>
    <xf numFmtId="0" fontId="5" fillId="2" borderId="0" applyAlignment="1" pivotButton="0" quotePrefix="0" xfId="0">
      <alignment horizontal="center"/>
    </xf>
    <xf numFmtId="0" fontId="9" fillId="0" borderId="0" applyAlignment="1" pivotButton="0" quotePrefix="0" xfId="0">
      <alignment horizontal="center"/>
    </xf>
    <xf numFmtId="0" fontId="10" fillId="2" borderId="0" applyAlignment="1" pivotButton="0" quotePrefix="0" xfId="0">
      <alignment horizontal="left" vertical="center" indent="1"/>
    </xf>
    <xf numFmtId="0" fontId="11" fillId="3" borderId="0" applyAlignment="1" pivotButton="0" quotePrefix="0" xfId="0">
      <alignment horizontal="left" vertical="center" indent="1"/>
    </xf>
    <xf numFmtId="165" fontId="4" fillId="0" borderId="0" pivotButton="0" quotePrefix="0" xfId="0"/>
    <xf numFmtId="0" fontId="4" fillId="0" borderId="0" pivotButton="0" quotePrefix="0" xfId="0"/>
    <xf numFmtId="0" fontId="12" fillId="0" borderId="0" applyAlignment="1" pivotButton="0" quotePrefix="0" xfId="0">
      <alignment vertical="center" wrapText="1"/>
    </xf>
    <xf numFmtId="165" fontId="4" fillId="0" borderId="0" applyAlignment="1" pivotButton="0" quotePrefix="0" xfId="0">
      <alignment vertical="top" wrapText="1"/>
    </xf>
    <xf numFmtId="164" fontId="4" fillId="0" borderId="0" applyAlignment="1" pivotButton="0" quotePrefix="0" xfId="0">
      <alignment vertical="top" wrapText="1"/>
    </xf>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tbl_KPI_Catalog" displayName="tbl_KPI_Catalog" ref="A1:O49" headerRowCount="1">
  <autoFilter ref="A1:O49"/>
  <tableColumns count="15">
    <tableColumn id="1" name="KPI"/>
    <tableColumn id="2" name="Definition"/>
    <tableColumn id="3" name="Unit"/>
    <tableColumn id="4" name="Audience"/>
    <tableColumn id="5" name="OFSA Dimension(s)"/>
    <tableColumn id="6" name="Food System Sector"/>
    <tableColumn id="7" name="Partner Sector"/>
    <tableColumn id="8" name="Cadence"/>
    <tableColumn id="9" name="Lead Role"/>
    <tableColumn id="10" name="Data Source"/>
    <tableColumn id="11" name="2026 Target"/>
    <tableColumn id="12" name="Owner Role"/>
    <tableColumn id="13" name="Source Form"/>
    <tableColumn id="14" name="Destination List"/>
    <tableColumn id="15" name="Status"/>
  </tableColumns>
  <tableStyleInfo name="TableStyleMedium2" showFirstColumn="0" showLastColumn="0" showRowStripes="1" showColumnStripes="0"/>
</table>
</file>

<file path=xl/tables/table2.xml><?xml version="1.0" encoding="utf-8"?>
<table xmlns="http://schemas.openxmlformats.org/spreadsheetml/2006/main" id="2" name="tbl_FoodCorridor" displayName="tbl_FoodCorridor" ref="A16:C23" headerRowCount="1">
  <autoFilter ref="A16:C23"/>
  <tableColumns count="3">
    <tableColumn id="1" name="Booking_Date"/>
    <tableColumn id="2" name="Member_Business"/>
    <tableColumn id="3" name="Hours"/>
  </tableColumns>
  <tableStyleInfo name="TableStyleMedium2" showFirstColumn="0" showLastColumn="0" showRowStripes="1" showColumnStripes="0"/>
</table>
</file>

<file path=xl/tables/table3.xml><?xml version="1.0" encoding="utf-8"?>
<table xmlns="http://schemas.openxmlformats.org/spreadsheetml/2006/main" id="3" name="tbl_Entrepreneurs" displayName="tbl_Entrepreneurs" ref="A3:Y8" headerRowCount="1">
  <autoFilter ref="A3:Y8"/>
  <tableColumns count="25">
    <tableColumn id="1" name="Submission_ID"/>
    <tableColumn id="2" name="Title"/>
    <tableColumn id="3" name="Submitted_By"/>
    <tableColumn id="4" name="Submitted_Date"/>
    <tableColumn id="5" name="Reporting_Period_Start"/>
    <tableColumn id="6" name="Reporting_Period_End"/>
    <tableColumn id="7" name="OFSA_Dimension"/>
    <tableColumn id="8" name="Food_System_Sector"/>
    <tableColumn id="9" name="Partner_Sector"/>
    <tableColumn id="10" name="Lead_Role"/>
    <tableColumn id="11" name="Business_Name"/>
    <tableColumn id="12" name="Stage"/>
    <tableColumn id="13" name="Date_Engaged"/>
    <tableColumn id="14" name="Date_Converted"/>
    <tableColumn id="15" name="Jobs_Created_FTE"/>
    <tableColumn id="16" name="Jobs_Created_PTE"/>
    <tableColumn id="17" name="Sales_Period_$"/>
    <tableColumn id="18" name="Sales_YoY_Change_%"/>
    <tableColumn id="19" name="Sources_Local_Produce"/>
    <tableColumn id="20" name="Wellness_Coaching_Sessions"/>
    <tableColumn id="21" name="Demographic_Tags"/>
    <tableColumn id="22" name="New_Members"/>
    <tableColumn id="23" name="ServSafe_Passed"/>
    <tableColumn id="24" name="ServSafe_Attempted"/>
    <tableColumn id="25" name="Notes"/>
  </tableColumns>
  <tableStyleInfo name="TableStyleMedium2" showFirstColumn="0" showLastColumn="0" showRowStripes="1" showColumnStripes="0"/>
</table>
</file>

<file path=xl/tables/table4.xml><?xml version="1.0" encoding="utf-8"?>
<table xmlns="http://schemas.openxmlformats.org/spreadsheetml/2006/main" id="4" name="tbl_Institution" displayName="tbl_Institution" ref="A3:S5" headerRowCount="1">
  <autoFilter ref="A3:S5"/>
  <tableColumns count="19">
    <tableColumn id="1" name="Submission_ID"/>
    <tableColumn id="2" name="Title"/>
    <tableColumn id="3" name="Submitted_By"/>
    <tableColumn id="4" name="Submitted_Date"/>
    <tableColumn id="5" name="Reporting_Period_Start"/>
    <tableColumn id="6" name="Reporting_Period_End"/>
    <tableColumn id="7" name="OFSA_Dimension"/>
    <tableColumn id="8" name="Food_System_Sector"/>
    <tableColumn id="9" name="Partner_Sector"/>
    <tableColumn id="10" name="Lead_Role"/>
    <tableColumn id="11" name="Institution_Name"/>
    <tableColumn id="12" name="Institution_Type"/>
    <tableColumn id="13" name="Activity_Type"/>
    <tableColumn id="14" name="PO_Value_$"/>
    <tableColumn id="15" name="Items_On_Menu"/>
    <tableColumn id="16" name="Connection_Notes"/>
    <tableColumn id="17" name="Health_Outcome_Metric"/>
    <tableColumn id="18" name="Health_Outcome_Value"/>
    <tableColumn id="19" name="Notes"/>
  </tableColumns>
  <tableStyleInfo name="TableStyleMedium2" showFirstColumn="0" showLastColumn="0" showRowStripes="1" showColumnStripes="0"/>
</table>
</file>

<file path=xl/tables/table5.xml><?xml version="1.0" encoding="utf-8"?>
<table xmlns="http://schemas.openxmlformats.org/spreadsheetml/2006/main" id="5" name="tbl_Community" displayName="tbl_Community" ref="A3:Y6" headerRowCount="1">
  <autoFilter ref="A3:Y6"/>
  <tableColumns count="25">
    <tableColumn id="1" name="Submission_ID"/>
    <tableColumn id="2" name="Title"/>
    <tableColumn id="3" name="Submitted_By"/>
    <tableColumn id="4" name="Submitted_Date"/>
    <tableColumn id="5" name="Reporting_Period_Start"/>
    <tableColumn id="6" name="Reporting_Period_End"/>
    <tableColumn id="7" name="OFSA_Dimension"/>
    <tableColumn id="8" name="Food_System_Sector"/>
    <tableColumn id="9" name="Partner_Sector"/>
    <tableColumn id="10" name="Lead_Role"/>
    <tableColumn id="11" name="Event_Name"/>
    <tableColumn id="12" name="Event_Type"/>
    <tableColumn id="13" name="Event_Date"/>
    <tableColumn id="14" name="Attendance_Count"/>
    <tableColumn id="15" name="Volunteer_Hours"/>
    <tableColumn id="16" name="Orgs_Engaged"/>
    <tableColumn id="17" name="Sector_Count"/>
    <tableColumn id="18" name="Multilingual_Cultural"/>
    <tableColumn id="19" name="Language_Tradition"/>
    <tableColumn id="20" name="Survey_Satisfaction_Avg"/>
    <tableColumn id="21" name="Survey_Learning_Avg"/>
    <tableColumn id="22" name="Food_Recovery_lbs"/>
    <tableColumn id="23" name="Food_Recovery_Recipient"/>
    <tableColumn id="24" name="Direct_Service_Provider_Onsite"/>
    <tableColumn id="25" name="Notes"/>
  </tableColumns>
  <tableStyleInfo name="TableStyleMedium2" showFirstColumn="0" showLastColumn="0" showRowStripes="1" showColumnStripes="0"/>
</table>
</file>

<file path=xl/tables/table6.xml><?xml version="1.0" encoding="utf-8"?>
<table xmlns="http://schemas.openxmlformats.org/spreadsheetml/2006/main" id="6" name="tbl_Funders" displayName="tbl_Funders" ref="A3:T10" headerRowCount="1">
  <autoFilter ref="A3:T10"/>
  <tableColumns count="20">
    <tableColumn id="1" name="Submission_ID"/>
    <tableColumn id="2" name="Title"/>
    <tableColumn id="3" name="Submitted_By"/>
    <tableColumn id="4" name="Submitted_Date"/>
    <tableColumn id="5" name="Reporting_Period_Start"/>
    <tableColumn id="6" name="Reporting_Period_End"/>
    <tableColumn id="7" name="OFSA_Dimension"/>
    <tableColumn id="8" name="Food_System_Sector"/>
    <tableColumn id="9" name="Partner_Sector"/>
    <tableColumn id="10" name="Lead_Role"/>
    <tableColumn id="11" name="Funder_Name"/>
    <tableColumn id="12" name="Activity_Type"/>
    <tableColumn id="13" name="Amount_$"/>
    <tableColumn id="14" name="Period_Start"/>
    <tableColumn id="15" name="Period_End"/>
    <tableColumn id="16" name="Earned_Revenue_%"/>
    <tableColumn id="17" name="Leveraged_Capital_Source"/>
    <tableColumn id="18" name="SROI_Ratio"/>
    <tableColumn id="19" name="Status"/>
    <tableColumn id="20" name="Notes"/>
  </tableColumns>
  <tableStyleInfo name="TableStyleMedium2" showFirstColumn="0" showLastColumn="0" showRowStripes="1" showColumnStripes="0"/>
</table>
</file>

<file path=xl/tables/table7.xml><?xml version="1.0" encoding="utf-8"?>
<table xmlns="http://schemas.openxmlformats.org/spreadsheetml/2006/main" id="7" name="tbl_Farmers" displayName="tbl_Farmers" ref="A3:X7" headerRowCount="1">
  <autoFilter ref="A3:X7"/>
  <tableColumns count="24">
    <tableColumn id="1" name="Submission_ID"/>
    <tableColumn id="2" name="Title"/>
    <tableColumn id="3" name="Submitted_By"/>
    <tableColumn id="4" name="Submitted_Date"/>
    <tableColumn id="5" name="Reporting_Period_Start"/>
    <tableColumn id="6" name="Reporting_Period_End"/>
    <tableColumn id="7" name="OFSA_Dimension"/>
    <tableColumn id="8" name="Food_System_Sector"/>
    <tableColumn id="9" name="Partner_Sector"/>
    <tableColumn id="10" name="Lead_Role"/>
    <tableColumn id="11" name="Farm_Name"/>
    <tableColumn id="12" name="Farm_Location"/>
    <tableColumn id="13" name="Farm_Contact"/>
    <tableColumn id="14" name="Produce_Types"/>
    <tableColumn id="15" name="Produce_lbs"/>
    <tableColumn id="16" name="Produce_Value_$"/>
    <tableColumn id="17" name="Origin_Region"/>
    <tableColumn id="18" name="Distribution_Destinations"/>
    <tableColumn id="19" name="Value_Added_Product"/>
    <tableColumn id="20" name="Value_Added_Description"/>
    <tableColumn id="21" name="Demographic_Race_Ethnicity"/>
    <tableColumn id="22" name="Demographic_Gender"/>
    <tableColumn id="23" name="Demographic_Age_Band"/>
    <tableColumn id="24" name="Notes"/>
  </tableColumns>
  <tableStyleInfo name="TableStyleMedium2" showFirstColumn="0" showLastColumn="0" showRowStripes="1" showColumnStripes="0"/>
</table>
</file>

<file path=xl/tables/table8.xml><?xml version="1.0" encoding="utf-8"?>
<table xmlns="http://schemas.openxmlformats.org/spreadsheetml/2006/main" id="8" name="tbl_Environmental" displayName="tbl_Environmental" ref="A3:R7" headerRowCount="1">
  <autoFilter ref="A3:R7"/>
  <tableColumns count="18">
    <tableColumn id="1" name="Submission_ID"/>
    <tableColumn id="2" name="Title"/>
    <tableColumn id="3" name="Submitted_By"/>
    <tableColumn id="4" name="Submitted_Date"/>
    <tableColumn id="5" name="Reporting_Period_Start"/>
    <tableColumn id="6" name="Reporting_Period_End"/>
    <tableColumn id="7" name="OFSA_Dimension"/>
    <tableColumn id="8" name="Food_System_Sector"/>
    <tableColumn id="9" name="Partner_Sector"/>
    <tableColumn id="10" name="Lead_Role"/>
    <tableColumn id="11" name="Activity_Type"/>
    <tableColumn id="12" name="Activity_Date"/>
    <tableColumn id="13" name="lbs_Value"/>
    <tableColumn id="14" name="Dollar_Value"/>
    <tableColumn id="15" name="Disposition"/>
    <tableColumn id="16" name="Food_Miles_Avg"/>
    <tableColumn id="17" name="Source_or_Recipient"/>
    <tableColumn id="18"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_rels/sheet12.xml.rels><Relationships xmlns="http://schemas.openxmlformats.org/package/2006/relationships"><Relationship Type="http://schemas.openxmlformats.org/officeDocument/2006/relationships/table" Target="/xl/tables/table7.xml" Id="rId1" /></Relationships>
</file>

<file path=xl/worksheets/_rels/sheet13.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outlinePr summaryBelow="1" summaryRight="1"/>
    <pageSetUpPr/>
  </sheetPr>
  <dimension ref="B2:B24"/>
  <sheetViews>
    <sheetView showGridLines="0" workbookViewId="0">
      <selection activeCell="A1" sqref="A1"/>
    </sheetView>
  </sheetViews>
  <sheetFormatPr baseColWidth="8" defaultRowHeight="15"/>
  <cols>
    <col width="4" customWidth="1" min="1" max="1"/>
    <col width="110" customWidth="1" min="2" max="2"/>
  </cols>
  <sheetData>
    <row r="2" ht="38" customHeight="1">
      <c r="B2" s="1" t="inlineStr">
        <is>
          <t>HARVEST Food Hub — KPI Master Workbook</t>
        </is>
      </c>
    </row>
    <row r="3" ht="22" customHeight="1">
      <c r="B3" s="2" t="inlineStr">
        <is>
          <t>Real-time KPI tracking across all six audience categories, tagged to the OFSA Six Dimensions of Food Security. Refreshes from SharePoint.</t>
        </is>
      </c>
    </row>
    <row r="5" ht="22" customHeight="1">
      <c r="B5" s="3" t="inlineStr">
        <is>
          <t>Open the right tab first</t>
        </is>
      </c>
    </row>
    <row r="6" ht="72" customHeight="1">
      <c r="B6" s="4" t="inlineStr">
        <is>
          <t>• Going to a JSC meeting? Open '2026 Performance Goals' and 'Dashboard — Executive Summary'.
• Working on the OFSA logic model? Open 'Dashboard — By OFSA Dimension'.
• Funder report? Open 'Dashboard — By Audience' and filter to the relevant audience.
• Need to know what a metric means? Open 'KPI Catalog'.</t>
        </is>
      </c>
    </row>
    <row r="8" ht="22" customHeight="1">
      <c r="B8" s="3" t="inlineStr">
        <is>
          <t>Refresh the data</t>
        </is>
      </c>
    </row>
    <row r="9" ht="72" customHeight="1">
      <c r="B9" s="4" t="inlineStr">
        <is>
          <t>1. Click the 'Data' tab in the Excel ribbon.
2. Click 'Refresh All'.
3. Wait for the spinning circles to stop (~10–30 seconds).
All dashboards update automatically. Power Query connections to SharePoint Lists are set up once (see Setup below); after that, Refresh All is all you do.</t>
        </is>
      </c>
    </row>
    <row r="11" ht="22" customHeight="1">
      <c r="B11" s="3" t="inlineStr">
        <is>
          <t>Loading the Food Corridor data</t>
        </is>
      </c>
    </row>
    <row r="12" ht="72" customHeight="1">
      <c r="B12" s="4" t="inlineStr">
        <is>
          <t>1. In Food Corridor, export the kitchen rentals CSV for the period.
2. Open the 'Food Corridor Import' tab in this workbook.
3. Follow the instructions at the top of that tab.
4. Hit 'Refresh All' — the 'Kitchen hours rented' KPI updates.</t>
        </is>
      </c>
    </row>
    <row r="14" ht="22" customHeight="1">
      <c r="B14" s="3" t="inlineStr">
        <is>
          <t>One-time setup</t>
        </is>
      </c>
    </row>
    <row r="15" ht="90" customHeight="1">
      <c r="B15" s="4" t="inlineStr">
        <is>
          <t>1. Open the 'KPI Catalog' tab — verify the catalog matches your team's intent.
2. Provision the SharePoint Lists (run scripts/provision_lists.ps1 OR follow the manual steps in schemas/sharepoint_lists.md).
3. Build the Forms per schemas/microsoft_forms.md.
4. Build the Power Automate flows per schemas/power_automate_flows.md.
5. In each 'Data — …' tab, replace the seeded sample rows with a Power Query connection to the corresponding SharePoint List. The M code is in docs/data_dictionary.md — copy/paste into Data &gt; Get Data &gt; Blank Query &gt; Advanced Editor.</t>
        </is>
      </c>
    </row>
    <row r="17" ht="22" customHeight="1">
      <c r="B17" s="3" t="inlineStr">
        <is>
          <t>Sheet protection</t>
        </is>
      </c>
    </row>
    <row r="18" ht="28" customHeight="1">
      <c r="B18" s="4" t="inlineStr">
        <is>
          <t>Dashboards are locked from accidental edits. Right-click any locked cell → 'Unprotect Sheet' (no password) if you need to modify a formula. Data tabs are unlocked because Power Query needs write access there.</t>
        </is>
      </c>
    </row>
    <row r="20" ht="22" customHeight="1">
      <c r="B20" s="3" t="inlineStr">
        <is>
          <t>What's NOT in this workbook</t>
        </is>
      </c>
    </row>
    <row r="21" ht="54" customHeight="1">
      <c r="B21" s="4" t="inlineStr">
        <is>
          <t>• SOPs and structural documentation (Goal 2) — tracked in the shared drive folder.
• Patient-level health data — out of scope; readmission KPI is a placeholder until RWJBH provides a methodology.
• Power BI dashboards — Excel is v1; Power BI is a later phase.</t>
        </is>
      </c>
    </row>
    <row r="23" ht="22" customHeight="1">
      <c r="B23" s="3" t="inlineStr">
        <is>
          <t>Help</t>
        </is>
      </c>
    </row>
    <row r="24" ht="28" customHeight="1">
      <c r="B24" s="4" t="inlineStr">
        <is>
          <t>Owner: HARVEST Director (anthony@…). For workbook bugs, see scripts/build_kpi_workbook.py — re-running it regenerates the file (you'll lose Power Query connections, so back them up first).</t>
        </is>
      </c>
    </row>
  </sheetData>
  <sheetProtection selectLockedCells="0" selectUnlockedCells="0" sheet="1" objects="0" insertRows="1" insertHyperlinks="1" autoFilter="1" scenarios="0" formatColumns="1" deleteColumns="1" insertColumns="1" pivotTables="1" deleteRows="1" formatCells="1" formatRows="1" sort="1"/>
  <mergeCells count="1">
    <mergeCell ref="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9"/>
  <sheetViews>
    <sheetView showGridLines="0" workbookViewId="0">
      <pane ySplit="1" topLeftCell="A2" activePane="bottomLeft" state="frozen"/>
      <selection pane="bottomLeft" activeCell="A1" sqref="A1"/>
    </sheetView>
  </sheetViews>
  <sheetFormatPr baseColWidth="8" defaultRowHeight="15"/>
  <cols>
    <col width="38" customWidth="1" min="1" max="1"/>
    <col width="50" customWidth="1" min="2" max="2"/>
    <col width="8" customWidth="1" min="3" max="3"/>
    <col width="22" customWidth="1" min="4" max="4"/>
    <col width="26" customWidth="1" min="5" max="5"/>
    <col width="22" customWidth="1" min="6" max="6"/>
    <col width="22" customWidth="1" min="7" max="7"/>
    <col width="12" customWidth="1" min="8" max="8"/>
    <col width="14" customWidth="1" min="9" max="9"/>
    <col width="22" customWidth="1" min="10" max="10"/>
    <col width="12" customWidth="1" min="11" max="11"/>
    <col width="26" customWidth="1" min="12" max="12"/>
    <col width="28" customWidth="1" min="13" max="13"/>
    <col width="26" customWidth="1" min="14" max="14"/>
    <col width="22" customWidth="1" min="15" max="15"/>
  </cols>
  <sheetData>
    <row r="1" ht="32" customHeight="1">
      <c r="A1" s="5" t="inlineStr">
        <is>
          <t>KPI</t>
        </is>
      </c>
      <c r="B1" s="5" t="inlineStr">
        <is>
          <t>Definition</t>
        </is>
      </c>
      <c r="C1" s="5" t="inlineStr">
        <is>
          <t>Unit</t>
        </is>
      </c>
      <c r="D1" s="5" t="inlineStr">
        <is>
          <t>Audience</t>
        </is>
      </c>
      <c r="E1" s="5" t="inlineStr">
        <is>
          <t>OFSA Dimension(s)</t>
        </is>
      </c>
      <c r="F1" s="5" t="inlineStr">
        <is>
          <t>Food System Sector</t>
        </is>
      </c>
      <c r="G1" s="5" t="inlineStr">
        <is>
          <t>Partner Sector</t>
        </is>
      </c>
      <c r="H1" s="5" t="inlineStr">
        <is>
          <t>Cadence</t>
        </is>
      </c>
      <c r="I1" s="5" t="inlineStr">
        <is>
          <t>Lead Role</t>
        </is>
      </c>
      <c r="J1" s="5" t="inlineStr">
        <is>
          <t>Data Source</t>
        </is>
      </c>
      <c r="K1" s="5" t="inlineStr">
        <is>
          <t>2026 Target</t>
        </is>
      </c>
      <c r="L1" s="5" t="inlineStr">
        <is>
          <t>Owner Role</t>
        </is>
      </c>
      <c r="M1" s="5" t="inlineStr">
        <is>
          <t>Source Form</t>
        </is>
      </c>
      <c r="N1" s="5" t="inlineStr">
        <is>
          <t>Destination List</t>
        </is>
      </c>
      <c r="O1" s="5" t="inlineStr">
        <is>
          <t>Status</t>
        </is>
      </c>
    </row>
    <row r="2">
      <c r="A2" s="4" t="inlineStr">
        <is>
          <t>Entrepreneurs engaged</t>
        </is>
      </c>
      <c r="B2" s="4" t="inlineStr">
        <is>
          <t>Unique individuals reached via outreach, intake, or info session</t>
        </is>
      </c>
      <c r="C2" s="4" t="inlineStr">
        <is>
          <t>count</t>
        </is>
      </c>
      <c r="D2" s="4" t="inlineStr">
        <is>
          <t>Food Entrepreneurs</t>
        </is>
      </c>
      <c r="E2" s="4" t="inlineStr">
        <is>
          <t>Agency</t>
        </is>
      </c>
      <c r="F2" s="4" t="inlineStr">
        <is>
          <t>Processing</t>
        </is>
      </c>
      <c r="G2" s="4" t="inlineStr">
        <is>
          <t>Food Enterprise</t>
        </is>
      </c>
      <c r="H2" s="4" t="inlineStr">
        <is>
          <t>Monthly</t>
        </is>
      </c>
      <c r="I2" s="4" t="inlineStr">
        <is>
          <t>HARVEST Lead</t>
        </is>
      </c>
      <c r="J2" s="4" t="inlineStr">
        <is>
          <t>Form submission</t>
        </is>
      </c>
      <c r="K2" s="4" t="n">
        <v>40</v>
      </c>
      <c r="L2" s="4" t="inlineStr">
        <is>
          <t>Community Outreach Specialist</t>
        </is>
      </c>
      <c r="M2" s="4" t="inlineStr">
        <is>
          <t>Community Engagement Log</t>
        </is>
      </c>
      <c r="N2" s="4" t="inlineStr">
        <is>
          <t>Food Entrepreneurs List</t>
        </is>
      </c>
      <c r="O2" s="4" t="inlineStr">
        <is>
          <t>Active</t>
        </is>
      </c>
    </row>
    <row r="3">
      <c r="A3" s="4" t="inlineStr">
        <is>
          <t>Entrepreneurs converted to renting members</t>
        </is>
      </c>
      <c r="B3" s="4" t="inlineStr">
        <is>
          <t>Engaged entrepreneurs who signed a kitchen rental agreement</t>
        </is>
      </c>
      <c r="C3" s="4" t="inlineStr">
        <is>
          <t>count</t>
        </is>
      </c>
      <c r="D3" s="4" t="inlineStr">
        <is>
          <t>Food Entrepreneurs</t>
        </is>
      </c>
      <c r="E3" s="4" t="inlineStr">
        <is>
          <t>Agency; Availability</t>
        </is>
      </c>
      <c r="F3" s="4" t="inlineStr">
        <is>
          <t>Processing</t>
        </is>
      </c>
      <c r="G3" s="4" t="inlineStr">
        <is>
          <t>Food Enterprise</t>
        </is>
      </c>
      <c r="H3" s="4" t="inlineStr">
        <is>
          <t>Monthly</t>
        </is>
      </c>
      <c r="I3" s="4" t="inlineStr">
        <is>
          <t>HARVEST Lead</t>
        </is>
      </c>
      <c r="J3" s="4" t="inlineStr">
        <is>
          <t>Form submission</t>
        </is>
      </c>
      <c r="K3" s="4" t="n">
        <v>8</v>
      </c>
      <c r="L3" s="4" t="inlineStr">
        <is>
          <t>Logistics Manager</t>
        </is>
      </c>
      <c r="M3" s="4" t="inlineStr">
        <is>
          <t>Kitchen Operations Log</t>
        </is>
      </c>
      <c r="N3" s="4" t="inlineStr">
        <is>
          <t>Food Entrepreneurs List</t>
        </is>
      </c>
      <c r="O3" s="4" t="inlineStr">
        <is>
          <t>Active</t>
        </is>
      </c>
    </row>
    <row r="4">
      <c r="A4" s="4" t="inlineStr">
        <is>
          <t>% members achieving ServSafe</t>
        </is>
      </c>
      <c r="B4" s="4" t="inlineStr">
        <is>
          <t>Members who pass ServSafe Food Handler or Manager via HARVEST</t>
        </is>
      </c>
      <c r="C4" s="4" t="inlineStr">
        <is>
          <t>%</t>
        </is>
      </c>
      <c r="D4" s="4" t="inlineStr">
        <is>
          <t>Food Entrepreneurs</t>
        </is>
      </c>
      <c r="E4" s="4" t="inlineStr">
        <is>
          <t>Utilization</t>
        </is>
      </c>
      <c r="F4" s="4" t="inlineStr">
        <is>
          <t>Processing</t>
        </is>
      </c>
      <c r="G4" s="4" t="inlineStr">
        <is>
          <t>Food Enterprise</t>
        </is>
      </c>
      <c r="H4" s="4" t="inlineStr">
        <is>
          <t>Per training</t>
        </is>
      </c>
      <c r="I4" s="4" t="inlineStr">
        <is>
          <t>HARVEST Lead</t>
        </is>
      </c>
      <c r="J4" s="4" t="inlineStr">
        <is>
          <t>Form submission</t>
        </is>
      </c>
      <c r="K4" s="4" t="n">
        <v>100</v>
      </c>
      <c r="L4" s="4" t="inlineStr">
        <is>
          <t>Culinary Manager</t>
        </is>
      </c>
      <c r="M4" s="4" t="inlineStr">
        <is>
          <t>Culinary &amp; Training Log</t>
        </is>
      </c>
      <c r="N4" s="4" t="inlineStr">
        <is>
          <t>Food Entrepreneurs List</t>
        </is>
      </c>
      <c r="O4" s="4" t="inlineStr">
        <is>
          <t>Active</t>
        </is>
      </c>
    </row>
    <row r="5">
      <c r="A5" s="4" t="inlineStr">
        <is>
          <t>Avg % sales increase for members</t>
        </is>
      </c>
      <c r="B5" s="4" t="inlineStr">
        <is>
          <t>YoY revenue change for members in kitchen ≥6 months</t>
        </is>
      </c>
      <c r="C5" s="4" t="inlineStr">
        <is>
          <t>%</t>
        </is>
      </c>
      <c r="D5" s="4" t="inlineStr">
        <is>
          <t>Food Entrepreneurs</t>
        </is>
      </c>
      <c r="E5" s="4" t="inlineStr">
        <is>
          <t>Stability; Agency</t>
        </is>
      </c>
      <c r="F5" s="4" t="inlineStr">
        <is>
          <t>Processing</t>
        </is>
      </c>
      <c r="G5" s="4" t="inlineStr">
        <is>
          <t>Food Enterprise</t>
        </is>
      </c>
      <c r="H5" s="4" t="inlineStr">
        <is>
          <t>Quarterly</t>
        </is>
      </c>
      <c r="I5" s="4" t="inlineStr">
        <is>
          <t>HARVEST Lead</t>
        </is>
      </c>
      <c r="J5" s="4" t="inlineStr">
        <is>
          <t>Manual entry</t>
        </is>
      </c>
      <c r="K5" s="4" t="n"/>
      <c r="L5" s="4" t="inlineStr">
        <is>
          <t>Director</t>
        </is>
      </c>
      <c r="M5" s="4" t="inlineStr">
        <is>
          <t>Director &amp; Partnership Log</t>
        </is>
      </c>
      <c r="N5" s="4" t="inlineStr">
        <is>
          <t>Food Entrepreneurs List</t>
        </is>
      </c>
      <c r="O5" s="4" t="inlineStr">
        <is>
          <t>Active</t>
        </is>
      </c>
    </row>
    <row r="6">
      <c r="A6" s="4" t="inlineStr">
        <is>
          <t>Businesses supported</t>
        </is>
      </c>
      <c r="B6" s="4" t="inlineStr">
        <is>
          <t>Distinct member businesses receiving any HARVEST service</t>
        </is>
      </c>
      <c r="C6" s="4" t="inlineStr">
        <is>
          <t>count</t>
        </is>
      </c>
      <c r="D6" s="4" t="inlineStr">
        <is>
          <t>Food Entrepreneurs</t>
        </is>
      </c>
      <c r="E6" s="4" t="inlineStr">
        <is>
          <t>Agency</t>
        </is>
      </c>
      <c r="F6" s="4" t="inlineStr">
        <is>
          <t>Processing</t>
        </is>
      </c>
      <c r="G6" s="4" t="inlineStr">
        <is>
          <t>Food Enterprise</t>
        </is>
      </c>
      <c r="H6" s="4" t="inlineStr">
        <is>
          <t>Monthly</t>
        </is>
      </c>
      <c r="I6" s="4" t="inlineStr">
        <is>
          <t>HARVEST Lead</t>
        </is>
      </c>
      <c r="J6" s="4" t="inlineStr">
        <is>
          <t>System-calculated</t>
        </is>
      </c>
      <c r="K6" s="4" t="n">
        <v>8</v>
      </c>
      <c r="L6" s="4" t="inlineStr">
        <is>
          <t>Director</t>
        </is>
      </c>
      <c r="M6" s="4" t="n"/>
      <c r="N6" s="4" t="inlineStr">
        <is>
          <t>Food Entrepreneurs List</t>
        </is>
      </c>
      <c r="O6" s="4" t="inlineStr">
        <is>
          <t>Active</t>
        </is>
      </c>
    </row>
    <row r="7">
      <c r="A7" s="4" t="inlineStr">
        <is>
          <t>Workforce dev seminars held</t>
        </is>
      </c>
      <c r="B7" s="4" t="inlineStr">
        <is>
          <t>Seminars on business building, food safety, marketing, capital</t>
        </is>
      </c>
      <c r="C7" s="4" t="inlineStr">
        <is>
          <t>count</t>
        </is>
      </c>
      <c r="D7" s="4" t="inlineStr">
        <is>
          <t>Food Entrepreneurs</t>
        </is>
      </c>
      <c r="E7" s="4" t="inlineStr">
        <is>
          <t>Utilization; Agency</t>
        </is>
      </c>
      <c r="F7" s="4" t="inlineStr">
        <is>
          <t>Processing</t>
        </is>
      </c>
      <c r="G7" s="4" t="inlineStr">
        <is>
          <t>Education</t>
        </is>
      </c>
      <c r="H7" s="4" t="inlineStr">
        <is>
          <t>Per event</t>
        </is>
      </c>
      <c r="I7" s="4" t="inlineStr">
        <is>
          <t>HARVEST Lead</t>
        </is>
      </c>
      <c r="J7" s="4" t="inlineStr">
        <is>
          <t>Form submission</t>
        </is>
      </c>
      <c r="K7" s="4" t="n">
        <v>6</v>
      </c>
      <c r="L7" s="4" t="inlineStr">
        <is>
          <t>Culinary Manager</t>
        </is>
      </c>
      <c r="M7" s="4" t="inlineStr">
        <is>
          <t>Culinary &amp; Training Log</t>
        </is>
      </c>
      <c r="N7" s="4" t="inlineStr">
        <is>
          <t>Food Entrepreneurs List</t>
        </is>
      </c>
      <c r="O7" s="4" t="inlineStr">
        <is>
          <t>Active</t>
        </is>
      </c>
    </row>
    <row r="8">
      <c r="A8" s="4" t="inlineStr">
        <is>
          <t>Kitchen hours rented</t>
        </is>
      </c>
      <c r="B8" s="4" t="inlineStr">
        <is>
          <t>Total billable kitchen hours rented in the period</t>
        </is>
      </c>
      <c r="C8" s="4" t="inlineStr">
        <is>
          <t>hours</t>
        </is>
      </c>
      <c r="D8" s="4" t="inlineStr">
        <is>
          <t>Food Entrepreneurs</t>
        </is>
      </c>
      <c r="E8" s="4" t="inlineStr">
        <is>
          <t>Availability; Stability</t>
        </is>
      </c>
      <c r="F8" s="4" t="inlineStr">
        <is>
          <t>Processing</t>
        </is>
      </c>
      <c r="G8" s="4" t="inlineStr">
        <is>
          <t>Food Enterprise</t>
        </is>
      </c>
      <c r="H8" s="4" t="inlineStr">
        <is>
          <t>Real-time</t>
        </is>
      </c>
      <c r="I8" s="4" t="inlineStr">
        <is>
          <t>HARVEST Lead</t>
        </is>
      </c>
      <c r="J8" s="4" t="inlineStr">
        <is>
          <t>Food Corridor CSV</t>
        </is>
      </c>
      <c r="K8" s="4" t="n">
        <v>1500</v>
      </c>
      <c r="L8" s="4" t="inlineStr">
        <is>
          <t>Logistics Manager</t>
        </is>
      </c>
      <c r="M8" s="4" t="n"/>
      <c r="N8" s="4" t="inlineStr">
        <is>
          <t>Food Entrepreneurs List</t>
        </is>
      </c>
      <c r="O8" s="4" t="inlineStr">
        <is>
          <t>Active</t>
        </is>
      </c>
    </row>
    <row r="9">
      <c r="A9" s="4" t="inlineStr">
        <is>
          <t>Jobs created by member businesses</t>
        </is>
      </c>
      <c r="B9" s="4" t="inlineStr">
        <is>
          <t>FTEs and PTEs hired by member businesses (self-reported)</t>
        </is>
      </c>
      <c r="C9" s="4" t="inlineStr">
        <is>
          <t>count</t>
        </is>
      </c>
      <c r="D9" s="4" t="inlineStr">
        <is>
          <t>Food Entrepreneurs</t>
        </is>
      </c>
      <c r="E9" s="4" t="inlineStr">
        <is>
          <t>Stability; Agency</t>
        </is>
      </c>
      <c r="F9" s="4" t="inlineStr">
        <is>
          <t>Processing</t>
        </is>
      </c>
      <c r="G9" s="4" t="inlineStr">
        <is>
          <t>Food Enterprise</t>
        </is>
      </c>
      <c r="H9" s="4" t="inlineStr">
        <is>
          <t>Quarterly</t>
        </is>
      </c>
      <c r="I9" s="4" t="inlineStr">
        <is>
          <t>HARVEST Lead</t>
        </is>
      </c>
      <c r="J9" s="4" t="inlineStr">
        <is>
          <t>Form submission</t>
        </is>
      </c>
      <c r="K9" s="4" t="n"/>
      <c r="L9" s="4" t="inlineStr">
        <is>
          <t>Director</t>
        </is>
      </c>
      <c r="M9" s="4" t="inlineStr">
        <is>
          <t>Director &amp; Partnership Log</t>
        </is>
      </c>
      <c r="N9" s="4" t="inlineStr">
        <is>
          <t>Food Entrepreneurs List</t>
        </is>
      </c>
      <c r="O9" s="4" t="inlineStr">
        <is>
          <t>Active</t>
        </is>
      </c>
    </row>
    <row r="10">
      <c r="A10" s="4" t="inlineStr">
        <is>
          <t>Growth of businesses by hours rented</t>
        </is>
      </c>
      <c r="B10" s="4" t="inlineStr">
        <is>
          <t>Avg hours/member over time</t>
        </is>
      </c>
      <c r="C10" s="4" t="inlineStr">
        <is>
          <t>hours</t>
        </is>
      </c>
      <c r="D10" s="4" t="inlineStr">
        <is>
          <t>Food Entrepreneurs</t>
        </is>
      </c>
      <c r="E10" s="4" t="inlineStr">
        <is>
          <t>Stability</t>
        </is>
      </c>
      <c r="F10" s="4" t="inlineStr">
        <is>
          <t>Processing</t>
        </is>
      </c>
      <c r="G10" s="4" t="inlineStr">
        <is>
          <t>Food Enterprise</t>
        </is>
      </c>
      <c r="H10" s="4" t="inlineStr">
        <is>
          <t>Quarterly</t>
        </is>
      </c>
      <c r="I10" s="4" t="inlineStr">
        <is>
          <t>HARVEST Lead</t>
        </is>
      </c>
      <c r="J10" s="4" t="inlineStr">
        <is>
          <t>System-calculated</t>
        </is>
      </c>
      <c r="K10" s="4" t="n"/>
      <c r="L10" s="4" t="inlineStr">
        <is>
          <t>Director</t>
        </is>
      </c>
      <c r="M10" s="4" t="n"/>
      <c r="N10" s="4" t="inlineStr">
        <is>
          <t>Food Entrepreneurs List</t>
        </is>
      </c>
      <c r="O10" s="4" t="inlineStr">
        <is>
          <t>Active</t>
        </is>
      </c>
    </row>
    <row r="11">
      <c r="A11" s="4" t="inlineStr">
        <is>
          <t>Businesses buying local produce via UAC</t>
        </is>
      </c>
      <c r="B11" s="4" t="inlineStr">
        <is>
          <t>Member businesses sourcing produce from UAC channels</t>
        </is>
      </c>
      <c r="C11" s="4" t="inlineStr">
        <is>
          <t>count</t>
        </is>
      </c>
      <c r="D11" s="4" t="inlineStr">
        <is>
          <t>Food Entrepreneurs</t>
        </is>
      </c>
      <c r="E11" s="4" t="inlineStr">
        <is>
          <t>Access; Sustainability</t>
        </is>
      </c>
      <c r="F11" s="4" t="inlineStr">
        <is>
          <t>Aggregation</t>
        </is>
      </c>
      <c r="G11" s="4" t="inlineStr">
        <is>
          <t>Agriculture</t>
        </is>
      </c>
      <c r="H11" s="4" t="inlineStr">
        <is>
          <t>Monthly</t>
        </is>
      </c>
      <c r="I11" s="4" t="inlineStr">
        <is>
          <t>Joint</t>
        </is>
      </c>
      <c r="J11" s="4" t="inlineStr">
        <is>
          <t>Form submission</t>
        </is>
      </c>
      <c r="K11" s="4" t="n">
        <v>3</v>
      </c>
      <c r="L11" s="4" t="inlineStr">
        <is>
          <t>UAC Partner</t>
        </is>
      </c>
      <c r="M11" s="4" t="inlineStr">
        <is>
          <t>UAC Farmer Engagement Log</t>
        </is>
      </c>
      <c r="N11" s="4" t="inlineStr">
        <is>
          <t>Food Entrepreneurs List</t>
        </is>
      </c>
      <c r="O11" s="4" t="inlineStr">
        <is>
          <t>Active</t>
        </is>
      </c>
    </row>
    <row r="12">
      <c r="A12" s="4" t="inlineStr">
        <is>
          <t>Events showcasing local entrepreneurs</t>
        </is>
      </c>
      <c r="B12" s="4" t="inlineStr">
        <is>
          <t>Public events featuring member businesses</t>
        </is>
      </c>
      <c r="C12" s="4" t="inlineStr">
        <is>
          <t>count</t>
        </is>
      </c>
      <c r="D12" s="4" t="inlineStr">
        <is>
          <t>Food Entrepreneurs</t>
        </is>
      </c>
      <c r="E12" s="4" t="inlineStr">
        <is>
          <t>Agency</t>
        </is>
      </c>
      <c r="F12" s="4" t="inlineStr">
        <is>
          <t>Retail-Consumption</t>
        </is>
      </c>
      <c r="G12" s="4" t="inlineStr">
        <is>
          <t>Food Enterprise</t>
        </is>
      </c>
      <c r="H12" s="4" t="inlineStr">
        <is>
          <t>Per event</t>
        </is>
      </c>
      <c r="I12" s="4" t="inlineStr">
        <is>
          <t>HARVEST Lead</t>
        </is>
      </c>
      <c r="J12" s="4" t="inlineStr">
        <is>
          <t>Form submission</t>
        </is>
      </c>
      <c r="K12" s="4" t="n">
        <v>4</v>
      </c>
      <c r="L12" s="4" t="inlineStr">
        <is>
          <t>Community Outreach Specialist</t>
        </is>
      </c>
      <c r="M12" s="4" t="inlineStr">
        <is>
          <t>Community Engagement Log</t>
        </is>
      </c>
      <c r="N12" s="4" t="inlineStr">
        <is>
          <t>Food Entrepreneurs List</t>
        </is>
      </c>
      <c r="O12" s="4" t="inlineStr">
        <is>
          <t>Active</t>
        </is>
      </c>
    </row>
    <row r="13">
      <c r="A13" s="4" t="inlineStr">
        <is>
          <t>Technical assistance sessions</t>
        </is>
      </c>
      <c r="B13" s="4" t="inlineStr">
        <is>
          <t>1:1 sessions for business building, capital, marketing</t>
        </is>
      </c>
      <c r="C13" s="4" t="inlineStr">
        <is>
          <t>count</t>
        </is>
      </c>
      <c r="D13" s="4" t="inlineStr">
        <is>
          <t>Food Entrepreneurs</t>
        </is>
      </c>
      <c r="E13" s="4" t="inlineStr">
        <is>
          <t>Utilization; Agency</t>
        </is>
      </c>
      <c r="F13" s="4" t="inlineStr">
        <is>
          <t>Processing</t>
        </is>
      </c>
      <c r="G13" s="4" t="inlineStr">
        <is>
          <t>Food Enterprise</t>
        </is>
      </c>
      <c r="H13" s="4" t="inlineStr">
        <is>
          <t>Per session</t>
        </is>
      </c>
      <c r="I13" s="4" t="inlineStr">
        <is>
          <t>HARVEST Lead</t>
        </is>
      </c>
      <c r="J13" s="4" t="inlineStr">
        <is>
          <t>Form submission</t>
        </is>
      </c>
      <c r="K13" s="4" t="n">
        <v>30</v>
      </c>
      <c r="L13" s="4" t="inlineStr">
        <is>
          <t>Culinary Manager</t>
        </is>
      </c>
      <c r="M13" s="4" t="inlineStr">
        <is>
          <t>Culinary &amp; Training Log</t>
        </is>
      </c>
      <c r="N13" s="4" t="inlineStr">
        <is>
          <t>Food Entrepreneurs List</t>
        </is>
      </c>
      <c r="O13" s="4" t="inlineStr">
        <is>
          <t>Active</t>
        </is>
      </c>
    </row>
    <row r="14">
      <c r="A14" s="4" t="inlineStr">
        <is>
          <t>Businesses receiving wellness coaching</t>
        </is>
      </c>
      <c r="B14" s="4" t="inlineStr">
        <is>
          <t>Member businesses in HARVEST wellness/nutrition coaching</t>
        </is>
      </c>
      <c r="C14" s="4" t="inlineStr">
        <is>
          <t>count</t>
        </is>
      </c>
      <c r="D14" s="4" t="inlineStr">
        <is>
          <t>Food Entrepreneurs</t>
        </is>
      </c>
      <c r="E14" s="4" t="inlineStr">
        <is>
          <t>Utilization</t>
        </is>
      </c>
      <c r="F14" s="4" t="inlineStr">
        <is>
          <t>Processing</t>
        </is>
      </c>
      <c r="G14" s="4" t="inlineStr">
        <is>
          <t>Healthcare</t>
        </is>
      </c>
      <c r="H14" s="4" t="inlineStr">
        <is>
          <t>Per session</t>
        </is>
      </c>
      <c r="I14" s="4" t="inlineStr">
        <is>
          <t>HARVEST Lead</t>
        </is>
      </c>
      <c r="J14" s="4" t="inlineStr">
        <is>
          <t>Form submission</t>
        </is>
      </c>
      <c r="K14" s="4" t="n"/>
      <c r="L14" s="4" t="inlineStr">
        <is>
          <t>Community Outreach Specialist</t>
        </is>
      </c>
      <c r="M14" s="4" t="inlineStr">
        <is>
          <t>Culinary &amp; Training Log</t>
        </is>
      </c>
      <c r="N14" s="4" t="inlineStr">
        <is>
          <t>Food Entrepreneurs List</t>
        </is>
      </c>
      <c r="O14" s="4" t="inlineStr">
        <is>
          <t>Active</t>
        </is>
      </c>
    </row>
    <row r="15">
      <c r="A15" s="4" t="inlineStr">
        <is>
          <t>$ purchasing orders from HARVEST/UAC vendors</t>
        </is>
      </c>
      <c r="B15" s="4" t="inlineStr">
        <is>
          <t>Total $ value of POs by institutions for HARVEST/UAC products</t>
        </is>
      </c>
      <c r="C15" s="4" t="inlineStr">
        <is>
          <t>$</t>
        </is>
      </c>
      <c r="D15" s="4" t="inlineStr">
        <is>
          <t>Institution</t>
        </is>
      </c>
      <c r="E15" s="4" t="inlineStr">
        <is>
          <t>Access; Availability</t>
        </is>
      </c>
      <c r="F15" s="4" t="inlineStr">
        <is>
          <t>Distribution</t>
        </is>
      </c>
      <c r="G15" s="4" t="inlineStr">
        <is>
          <t>Healthcare</t>
        </is>
      </c>
      <c r="H15" s="4" t="inlineStr">
        <is>
          <t>Monthly</t>
        </is>
      </c>
      <c r="I15" s="4" t="inlineStr">
        <is>
          <t>Joint</t>
        </is>
      </c>
      <c r="J15" s="4" t="inlineStr">
        <is>
          <t>Form submission</t>
        </is>
      </c>
      <c r="K15" s="4" t="n"/>
      <c r="L15" s="4" t="inlineStr">
        <is>
          <t>Director</t>
        </is>
      </c>
      <c r="M15" s="4" t="inlineStr">
        <is>
          <t>Director &amp; Partnership Log</t>
        </is>
      </c>
      <c r="N15" s="4" t="inlineStr">
        <is>
          <t>Institution List</t>
        </is>
      </c>
      <c r="O15" s="4" t="inlineStr">
        <is>
          <t>Active</t>
        </is>
      </c>
    </row>
    <row r="16">
      <c r="A16" s="4" t="inlineStr">
        <is>
          <t>HARVEST-produced items on institutional menus</t>
        </is>
      </c>
      <c r="B16" s="4" t="inlineStr">
        <is>
          <t>Distinct HARVEST/UAC items on institutional menus</t>
        </is>
      </c>
      <c r="C16" s="4" t="inlineStr">
        <is>
          <t>count</t>
        </is>
      </c>
      <c r="D16" s="4" t="inlineStr">
        <is>
          <t>Institution</t>
        </is>
      </c>
      <c r="E16" s="4" t="inlineStr">
        <is>
          <t>Access; Availability</t>
        </is>
      </c>
      <c r="F16" s="4" t="inlineStr">
        <is>
          <t>Retail-Consumption</t>
        </is>
      </c>
      <c r="G16" s="4" t="inlineStr">
        <is>
          <t>Healthcare</t>
        </is>
      </c>
      <c r="H16" s="4" t="inlineStr">
        <is>
          <t>Quarterly</t>
        </is>
      </c>
      <c r="I16" s="4" t="inlineStr">
        <is>
          <t>HARVEST Lead</t>
        </is>
      </c>
      <c r="J16" s="4" t="inlineStr">
        <is>
          <t>Form submission</t>
        </is>
      </c>
      <c r="K16" s="4" t="n"/>
      <c r="L16" s="4" t="inlineStr">
        <is>
          <t>Director</t>
        </is>
      </c>
      <c r="M16" s="4" t="inlineStr">
        <is>
          <t>Director &amp; Partnership Log</t>
        </is>
      </c>
      <c r="N16" s="4" t="inlineStr">
        <is>
          <t>Institution List</t>
        </is>
      </c>
      <c r="O16" s="4" t="inlineStr">
        <is>
          <t>Active</t>
        </is>
      </c>
    </row>
    <row r="17">
      <c r="A17" s="4" t="inlineStr">
        <is>
          <t>Cross-institution connections</t>
        </is>
      </c>
      <c r="B17" s="4" t="inlineStr">
        <is>
          <t>Active relationships with Rutgers, NPS, Audible, etc.</t>
        </is>
      </c>
      <c r="C17" s="4" t="inlineStr">
        <is>
          <t>count</t>
        </is>
      </c>
      <c r="D17" s="4" t="inlineStr">
        <is>
          <t>Institution</t>
        </is>
      </c>
      <c r="E17" s="4" t="inlineStr">
        <is>
          <t>Stability; Access</t>
        </is>
      </c>
      <c r="F17" s="4" t="inlineStr">
        <is>
          <t>n/a</t>
        </is>
      </c>
      <c r="G17" s="4" t="inlineStr">
        <is>
          <t>Education</t>
        </is>
      </c>
      <c r="H17" s="4" t="inlineStr">
        <is>
          <t>Quarterly</t>
        </is>
      </c>
      <c r="I17" s="4" t="inlineStr">
        <is>
          <t>HARVEST Lead</t>
        </is>
      </c>
      <c r="J17" s="4" t="inlineStr">
        <is>
          <t>Form submission</t>
        </is>
      </c>
      <c r="K17" s="4" t="n">
        <v>4</v>
      </c>
      <c r="L17" s="4" t="inlineStr">
        <is>
          <t>Director</t>
        </is>
      </c>
      <c r="M17" s="4" t="inlineStr">
        <is>
          <t>Director &amp; Partnership Log</t>
        </is>
      </c>
      <c r="N17" s="4" t="inlineStr">
        <is>
          <t>Institution List</t>
        </is>
      </c>
      <c r="O17" s="4" t="inlineStr">
        <is>
          <t>Active</t>
        </is>
      </c>
    </row>
    <row r="18">
      <c r="A18" s="4" t="inlineStr">
        <is>
          <t>TA partnerships</t>
        </is>
      </c>
      <c r="B18" s="4" t="inlineStr">
        <is>
          <t>External institutions providing TA to HARVEST members</t>
        </is>
      </c>
      <c r="C18" s="4" t="inlineStr">
        <is>
          <t>count</t>
        </is>
      </c>
      <c r="D18" s="4" t="inlineStr">
        <is>
          <t>Institution</t>
        </is>
      </c>
      <c r="E18" s="4" t="inlineStr">
        <is>
          <t>Utilization; Stability</t>
        </is>
      </c>
      <c r="F18" s="4" t="inlineStr">
        <is>
          <t>n/a</t>
        </is>
      </c>
      <c r="G18" s="4" t="inlineStr">
        <is>
          <t>Education</t>
        </is>
      </c>
      <c r="H18" s="4" t="inlineStr">
        <is>
          <t>Quarterly</t>
        </is>
      </c>
      <c r="I18" s="4" t="inlineStr">
        <is>
          <t>Joint</t>
        </is>
      </c>
      <c r="J18" s="4" t="inlineStr">
        <is>
          <t>Form submission</t>
        </is>
      </c>
      <c r="K18" s="4" t="n">
        <v>3</v>
      </c>
      <c r="L18" s="4" t="inlineStr">
        <is>
          <t>Director</t>
        </is>
      </c>
      <c r="M18" s="4" t="inlineStr">
        <is>
          <t>Director &amp; Partnership Log</t>
        </is>
      </c>
      <c r="N18" s="4" t="inlineStr">
        <is>
          <t>Institution List</t>
        </is>
      </c>
      <c r="O18" s="4" t="inlineStr">
        <is>
          <t>Active</t>
        </is>
      </c>
    </row>
    <row r="19">
      <c r="A19" s="4" t="inlineStr">
        <is>
          <t>Reduction in readmission costs through HARVEST</t>
        </is>
      </c>
      <c r="B19" s="4" t="inlineStr">
        <is>
          <t>RWJBH patient readmission $ reduction attributable to HARVEST</t>
        </is>
      </c>
      <c r="C19" s="4" t="inlineStr">
        <is>
          <t>$</t>
        </is>
      </c>
      <c r="D19" s="4" t="inlineStr">
        <is>
          <t>Institution</t>
        </is>
      </c>
      <c r="E19" s="4" t="inlineStr">
        <is>
          <t>Utilization; Access</t>
        </is>
      </c>
      <c r="F19" s="4" t="inlineStr">
        <is>
          <t>Retail-Consumption</t>
        </is>
      </c>
      <c r="G19" s="4" t="inlineStr">
        <is>
          <t>Healthcare</t>
        </is>
      </c>
      <c r="H19" s="4" t="inlineStr">
        <is>
          <t>Annual</t>
        </is>
      </c>
      <c r="I19" s="4" t="inlineStr">
        <is>
          <t>Joint</t>
        </is>
      </c>
      <c r="J19" s="4" t="inlineStr">
        <is>
          <t>Manual entry</t>
        </is>
      </c>
      <c r="K19" s="4" t="n"/>
      <c r="L19" s="4" t="inlineStr">
        <is>
          <t>Director</t>
        </is>
      </c>
      <c r="M19" s="4" t="n"/>
      <c r="N19" s="4" t="inlineStr">
        <is>
          <t>Institution List</t>
        </is>
      </c>
      <c r="O19" s="4" t="inlineStr">
        <is>
          <t>Planned — methodology TBD</t>
        </is>
      </c>
    </row>
    <row r="20">
      <c r="A20" s="4" t="inlineStr">
        <is>
          <t>Community orgs engaged</t>
        </is>
      </c>
      <c r="B20" s="4" t="inlineStr">
        <is>
          <t>Distinct orgs participating in any HARVEST activity</t>
        </is>
      </c>
      <c r="C20" s="4" t="inlineStr">
        <is>
          <t>count</t>
        </is>
      </c>
      <c r="D20" s="4" t="inlineStr">
        <is>
          <t>Community Organizations</t>
        </is>
      </c>
      <c r="E20" s="4" t="inlineStr">
        <is>
          <t>Agency; Access</t>
        </is>
      </c>
      <c r="F20" s="4" t="inlineStr">
        <is>
          <t>n/a</t>
        </is>
      </c>
      <c r="G20" s="4" t="inlineStr">
        <is>
          <t>Community-Based Org</t>
        </is>
      </c>
      <c r="H20" s="4" t="inlineStr">
        <is>
          <t>Monthly</t>
        </is>
      </c>
      <c r="I20" s="4" t="inlineStr">
        <is>
          <t>HARVEST Lead</t>
        </is>
      </c>
      <c r="J20" s="4" t="inlineStr">
        <is>
          <t>Form submission</t>
        </is>
      </c>
      <c r="K20" s="4" t="n">
        <v>15</v>
      </c>
      <c r="L20" s="4" t="inlineStr">
        <is>
          <t>Community Outreach Specialist</t>
        </is>
      </c>
      <c r="M20" s="4" t="inlineStr">
        <is>
          <t>Community Engagement Log</t>
        </is>
      </c>
      <c r="N20" s="4" t="inlineStr">
        <is>
          <t>Community Orgs List</t>
        </is>
      </c>
      <c r="O20" s="4" t="inlineStr">
        <is>
          <t>Active</t>
        </is>
      </c>
    </row>
    <row r="21">
      <c r="A21" s="4" t="inlineStr">
        <is>
          <t>Event participants</t>
        </is>
      </c>
      <c r="B21" s="4" t="inlineStr">
        <is>
          <t>Total participants across teaching kitchen, RD workshops, etc.</t>
        </is>
      </c>
      <c r="C21" s="4" t="inlineStr">
        <is>
          <t>count</t>
        </is>
      </c>
      <c r="D21" s="4" t="inlineStr">
        <is>
          <t>Community Organizations</t>
        </is>
      </c>
      <c r="E21" s="4" t="inlineStr">
        <is>
          <t>Utilization; Agency</t>
        </is>
      </c>
      <c r="F21" s="4" t="inlineStr">
        <is>
          <t>n/a</t>
        </is>
      </c>
      <c r="G21" s="4" t="inlineStr">
        <is>
          <t>Community-Based Org</t>
        </is>
      </c>
      <c r="H21" s="4" t="inlineStr">
        <is>
          <t>Per event</t>
        </is>
      </c>
      <c r="I21" s="4" t="inlineStr">
        <is>
          <t>HARVEST Lead</t>
        </is>
      </c>
      <c r="J21" s="4" t="inlineStr">
        <is>
          <t>Form submission</t>
        </is>
      </c>
      <c r="K21" s="4" t="n">
        <v>300</v>
      </c>
      <c r="L21" s="4" t="inlineStr">
        <is>
          <t>Community Outreach Specialist</t>
        </is>
      </c>
      <c r="M21" s="4" t="inlineStr">
        <is>
          <t>Community Engagement Log</t>
        </is>
      </c>
      <c r="N21" s="4" t="inlineStr">
        <is>
          <t>Community Orgs List</t>
        </is>
      </c>
      <c r="O21" s="4" t="inlineStr">
        <is>
          <t>Active</t>
        </is>
      </c>
    </row>
    <row r="22">
      <c r="A22" s="4" t="inlineStr">
        <is>
          <t>Community volunteer hours</t>
        </is>
      </c>
      <c r="B22" s="4" t="inlineStr">
        <is>
          <t>Hours contributed by community volunteers at HARVEST</t>
        </is>
      </c>
      <c r="C22" s="4" t="inlineStr">
        <is>
          <t>hours</t>
        </is>
      </c>
      <c r="D22" s="4" t="inlineStr">
        <is>
          <t>Community Organizations</t>
        </is>
      </c>
      <c r="E22" s="4" t="inlineStr">
        <is>
          <t>Agency; Stability</t>
        </is>
      </c>
      <c r="F22" s="4" t="inlineStr">
        <is>
          <t>n/a</t>
        </is>
      </c>
      <c r="G22" s="4" t="inlineStr">
        <is>
          <t>Community-Based Org</t>
        </is>
      </c>
      <c r="H22" s="4" t="inlineStr">
        <is>
          <t>Per event</t>
        </is>
      </c>
      <c r="I22" s="4" t="inlineStr">
        <is>
          <t>HARVEST Lead</t>
        </is>
      </c>
      <c r="J22" s="4" t="inlineStr">
        <is>
          <t>Form submission</t>
        </is>
      </c>
      <c r="K22" s="4" t="n"/>
      <c r="L22" s="4" t="inlineStr">
        <is>
          <t>Community Outreach Specialist</t>
        </is>
      </c>
      <c r="M22" s="4" t="inlineStr">
        <is>
          <t>Community Engagement Log</t>
        </is>
      </c>
      <c r="N22" s="4" t="inlineStr">
        <is>
          <t>Community Orgs List</t>
        </is>
      </c>
      <c r="O22" s="4" t="inlineStr">
        <is>
          <t>Active</t>
        </is>
      </c>
    </row>
    <row r="23">
      <c r="A23" s="4" t="inlineStr">
        <is>
          <t>Community events run by staff</t>
        </is>
      </c>
      <c r="B23" s="4" t="inlineStr">
        <is>
          <t>Events run by HARVEST staff (on-site and external)</t>
        </is>
      </c>
      <c r="C23" s="4" t="inlineStr">
        <is>
          <t>count</t>
        </is>
      </c>
      <c r="D23" s="4" t="inlineStr">
        <is>
          <t>Community Organizations</t>
        </is>
      </c>
      <c r="E23" s="4" t="inlineStr">
        <is>
          <t>Agency</t>
        </is>
      </c>
      <c r="F23" s="4" t="inlineStr">
        <is>
          <t>n/a</t>
        </is>
      </c>
      <c r="G23" s="4" t="inlineStr">
        <is>
          <t>Community-Based Org</t>
        </is>
      </c>
      <c r="H23" s="4" t="inlineStr">
        <is>
          <t>Per event</t>
        </is>
      </c>
      <c r="I23" s="4" t="inlineStr">
        <is>
          <t>HARVEST Lead</t>
        </is>
      </c>
      <c r="J23" s="4" t="inlineStr">
        <is>
          <t>Form submission</t>
        </is>
      </c>
      <c r="K23" s="4" t="n">
        <v>24</v>
      </c>
      <c r="L23" s="4" t="inlineStr">
        <is>
          <t>Community Outreach Specialist</t>
        </is>
      </c>
      <c r="M23" s="4" t="inlineStr">
        <is>
          <t>Community Engagement Log</t>
        </is>
      </c>
      <c r="N23" s="4" t="inlineStr">
        <is>
          <t>Community Orgs List</t>
        </is>
      </c>
      <c r="O23" s="4" t="inlineStr">
        <is>
          <t>Active</t>
        </is>
      </c>
    </row>
    <row r="24">
      <c r="A24" s="4" t="inlineStr">
        <is>
          <t>Event survey — satisfaction (avg)</t>
        </is>
      </c>
      <c r="B24" s="4" t="inlineStr">
        <is>
          <t>Avg satisfaction from post-event survey (1–5)</t>
        </is>
      </c>
      <c r="C24" s="4" t="inlineStr">
        <is>
          <t>rating</t>
        </is>
      </c>
      <c r="D24" s="4" t="inlineStr">
        <is>
          <t>Community Organizations</t>
        </is>
      </c>
      <c r="E24" s="4" t="inlineStr">
        <is>
          <t>Utilization</t>
        </is>
      </c>
      <c r="F24" s="4" t="inlineStr">
        <is>
          <t>n/a</t>
        </is>
      </c>
      <c r="G24" s="4" t="inlineStr">
        <is>
          <t>Community-Based Org</t>
        </is>
      </c>
      <c r="H24" s="4" t="inlineStr">
        <is>
          <t>Per event</t>
        </is>
      </c>
      <c r="I24" s="4" t="inlineStr">
        <is>
          <t>HARVEST Lead</t>
        </is>
      </c>
      <c r="J24" s="4" t="inlineStr">
        <is>
          <t>Form submission</t>
        </is>
      </c>
      <c r="K24" s="4" t="n">
        <v>4</v>
      </c>
      <c r="L24" s="4" t="inlineStr">
        <is>
          <t>Community Outreach Specialist</t>
        </is>
      </c>
      <c r="M24" s="4" t="inlineStr">
        <is>
          <t>Community Engagement Log</t>
        </is>
      </c>
      <c r="N24" s="4" t="inlineStr">
        <is>
          <t>Community Orgs List</t>
        </is>
      </c>
      <c r="O24" s="4" t="inlineStr">
        <is>
          <t>Active</t>
        </is>
      </c>
    </row>
    <row r="25">
      <c r="A25" s="4" t="inlineStr">
        <is>
          <t>Event survey — learning (avg)</t>
        </is>
      </c>
      <c r="B25" s="4" t="inlineStr">
        <is>
          <t>Avg self-reported learning from post-event survey (1–5)</t>
        </is>
      </c>
      <c r="C25" s="4" t="inlineStr">
        <is>
          <t>rating</t>
        </is>
      </c>
      <c r="D25" s="4" t="inlineStr">
        <is>
          <t>Community Organizations</t>
        </is>
      </c>
      <c r="E25" s="4" t="inlineStr">
        <is>
          <t>Utilization</t>
        </is>
      </c>
      <c r="F25" s="4" t="inlineStr">
        <is>
          <t>n/a</t>
        </is>
      </c>
      <c r="G25" s="4" t="inlineStr">
        <is>
          <t>Community-Based Org</t>
        </is>
      </c>
      <c r="H25" s="4" t="inlineStr">
        <is>
          <t>Per event</t>
        </is>
      </c>
      <c r="I25" s="4" t="inlineStr">
        <is>
          <t>HARVEST Lead</t>
        </is>
      </c>
      <c r="J25" s="4" t="inlineStr">
        <is>
          <t>Form submission</t>
        </is>
      </c>
      <c r="K25" s="4" t="n">
        <v>4</v>
      </c>
      <c r="L25" s="4" t="inlineStr">
        <is>
          <t>Community Outreach Specialist</t>
        </is>
      </c>
      <c r="M25" s="4" t="inlineStr">
        <is>
          <t>Community Engagement Log</t>
        </is>
      </c>
      <c r="N25" s="4" t="inlineStr">
        <is>
          <t>Community Orgs List</t>
        </is>
      </c>
      <c r="O25" s="4" t="inlineStr">
        <is>
          <t>Active</t>
        </is>
      </c>
    </row>
    <row r="26">
      <c r="A26" s="4" t="inlineStr">
        <is>
          <t>Tours given</t>
        </is>
      </c>
      <c r="B26" s="4" t="inlineStr">
        <is>
          <t>Facility tours given to external visitors</t>
        </is>
      </c>
      <c r="C26" s="4" t="inlineStr">
        <is>
          <t>count</t>
        </is>
      </c>
      <c r="D26" s="4" t="inlineStr">
        <is>
          <t>Community Organizations</t>
        </is>
      </c>
      <c r="E26" s="4" t="inlineStr">
        <is>
          <t>Agency</t>
        </is>
      </c>
      <c r="F26" s="4" t="inlineStr">
        <is>
          <t>n/a</t>
        </is>
      </c>
      <c r="G26" s="4" t="inlineStr">
        <is>
          <t>Community-Based Org</t>
        </is>
      </c>
      <c r="H26" s="4" t="inlineStr">
        <is>
          <t>Per event</t>
        </is>
      </c>
      <c r="I26" s="4" t="inlineStr">
        <is>
          <t>HARVEST Lead</t>
        </is>
      </c>
      <c r="J26" s="4" t="inlineStr">
        <is>
          <t>Form submission</t>
        </is>
      </c>
      <c r="K26" s="4" t="n">
        <v>24</v>
      </c>
      <c r="L26" s="4" t="inlineStr">
        <is>
          <t>Community Outreach Specialist</t>
        </is>
      </c>
      <c r="M26" s="4" t="inlineStr">
        <is>
          <t>Community Engagement Log</t>
        </is>
      </c>
      <c r="N26" s="4" t="inlineStr">
        <is>
          <t>Community Orgs List</t>
        </is>
      </c>
      <c r="O26" s="4" t="inlineStr">
        <is>
          <t>Active</t>
        </is>
      </c>
    </row>
    <row r="27">
      <c r="A27" s="4" t="inlineStr">
        <is>
          <t>Orgs hosting events at HARVEST</t>
        </is>
      </c>
      <c r="B27" s="4" t="inlineStr">
        <is>
          <t>External orgs using HARVEST as their venue</t>
        </is>
      </c>
      <c r="C27" s="4" t="inlineStr">
        <is>
          <t>count</t>
        </is>
      </c>
      <c r="D27" s="4" t="inlineStr">
        <is>
          <t>Community Organizations</t>
        </is>
      </c>
      <c r="E27" s="4" t="inlineStr">
        <is>
          <t>Agency; Access</t>
        </is>
      </c>
      <c r="F27" s="4" t="inlineStr">
        <is>
          <t>n/a</t>
        </is>
      </c>
      <c r="G27" s="4" t="inlineStr">
        <is>
          <t>Community-Based Org</t>
        </is>
      </c>
      <c r="H27" s="4" t="inlineStr">
        <is>
          <t>Per event</t>
        </is>
      </c>
      <c r="I27" s="4" t="inlineStr">
        <is>
          <t>HARVEST Lead</t>
        </is>
      </c>
      <c r="J27" s="4" t="inlineStr">
        <is>
          <t>Form submission</t>
        </is>
      </c>
      <c r="K27" s="4" t="n">
        <v>6</v>
      </c>
      <c r="L27" s="4" t="inlineStr">
        <is>
          <t>Community Outreach Specialist</t>
        </is>
      </c>
      <c r="M27" s="4" t="inlineStr">
        <is>
          <t>Community Engagement Log</t>
        </is>
      </c>
      <c r="N27" s="4" t="inlineStr">
        <is>
          <t>Community Orgs List</t>
        </is>
      </c>
      <c r="O27" s="4" t="inlineStr">
        <is>
          <t>Active</t>
        </is>
      </c>
    </row>
    <row r="28">
      <c r="A28" s="4" t="inlineStr">
        <is>
          <t>Sectors engaged at HARVEST</t>
        </is>
      </c>
      <c r="B28" s="4" t="inlineStr">
        <is>
          <t>Distinct partner sectors represented across engagements</t>
        </is>
      </c>
      <c r="C28" s="4" t="inlineStr">
        <is>
          <t>count</t>
        </is>
      </c>
      <c r="D28" s="4" t="inlineStr">
        <is>
          <t>Community Organizations</t>
        </is>
      </c>
      <c r="E28" s="4" t="inlineStr">
        <is>
          <t>Stability</t>
        </is>
      </c>
      <c r="F28" s="4" t="inlineStr">
        <is>
          <t>n/a</t>
        </is>
      </c>
      <c r="G28" s="4" t="inlineStr">
        <is>
          <t>Community-Based Org</t>
        </is>
      </c>
      <c r="H28" s="4" t="inlineStr">
        <is>
          <t>Quarterly</t>
        </is>
      </c>
      <c r="I28" s="4" t="inlineStr">
        <is>
          <t>HARVEST Lead</t>
        </is>
      </c>
      <c r="J28" s="4" t="inlineStr">
        <is>
          <t>System-calculated</t>
        </is>
      </c>
      <c r="K28" s="4" t="n">
        <v>5</v>
      </c>
      <c r="L28" s="4" t="inlineStr">
        <is>
          <t>Director</t>
        </is>
      </c>
      <c r="M28" s="4" t="n"/>
      <c r="N28" s="4" t="inlineStr">
        <is>
          <t>Community Orgs List</t>
        </is>
      </c>
      <c r="O28" s="4" t="inlineStr">
        <is>
          <t>Active</t>
        </is>
      </c>
    </row>
    <row r="29">
      <c r="A29" s="4" t="inlineStr">
        <is>
          <t>Multilingual / cultural events</t>
        </is>
      </c>
      <c r="B29" s="4" t="inlineStr">
        <is>
          <t>Events in a non-English language or built around a tradition</t>
        </is>
      </c>
      <c r="C29" s="4" t="inlineStr">
        <is>
          <t>count</t>
        </is>
      </c>
      <c r="D29" s="4" t="inlineStr">
        <is>
          <t>Community Organizations</t>
        </is>
      </c>
      <c r="E29" s="4" t="inlineStr">
        <is>
          <t>Agency; Access</t>
        </is>
      </c>
      <c r="F29" s="4" t="inlineStr">
        <is>
          <t>n/a</t>
        </is>
      </c>
      <c r="G29" s="4" t="inlineStr">
        <is>
          <t>Community-Based Org</t>
        </is>
      </c>
      <c r="H29" s="4" t="inlineStr">
        <is>
          <t>Per event</t>
        </is>
      </c>
      <c r="I29" s="4" t="inlineStr">
        <is>
          <t>HARVEST Lead</t>
        </is>
      </c>
      <c r="J29" s="4" t="inlineStr">
        <is>
          <t>Form submission</t>
        </is>
      </c>
      <c r="K29" s="4" t="n">
        <v>6</v>
      </c>
      <c r="L29" s="4" t="inlineStr">
        <is>
          <t>Community Outreach Specialist</t>
        </is>
      </c>
      <c r="M29" s="4" t="inlineStr">
        <is>
          <t>Community Engagement Log</t>
        </is>
      </c>
      <c r="N29" s="4" t="inlineStr">
        <is>
          <t>Community Orgs List</t>
        </is>
      </c>
      <c r="O29" s="4" t="inlineStr">
        <is>
          <t>Active</t>
        </is>
      </c>
    </row>
    <row r="30">
      <c r="A30" s="4" t="inlineStr">
        <is>
          <t>Food recovery to service providers (lbs)</t>
        </is>
      </c>
      <c r="B30" s="4" t="inlineStr">
        <is>
          <t>lbs diverted to Bridges and other direct service providers</t>
        </is>
      </c>
      <c r="C30" s="4" t="inlineStr">
        <is>
          <t>lbs</t>
        </is>
      </c>
      <c r="D30" s="4" t="inlineStr">
        <is>
          <t>Community Organizations</t>
        </is>
      </c>
      <c r="E30" s="4" t="inlineStr">
        <is>
          <t>Access; Sustainability</t>
        </is>
      </c>
      <c r="F30" s="4" t="inlineStr">
        <is>
          <t>Recovery-Waste</t>
        </is>
      </c>
      <c r="G30" s="4" t="inlineStr">
        <is>
          <t>Community-Based Org</t>
        </is>
      </c>
      <c r="H30" s="4" t="inlineStr">
        <is>
          <t>Per event</t>
        </is>
      </c>
      <c r="I30" s="4" t="inlineStr">
        <is>
          <t>HARVEST Lead</t>
        </is>
      </c>
      <c r="J30" s="4" t="inlineStr">
        <is>
          <t>Form submission</t>
        </is>
      </c>
      <c r="K30" s="4" t="n">
        <v>500</v>
      </c>
      <c r="L30" s="4" t="inlineStr">
        <is>
          <t>Community Outreach Specialist</t>
        </is>
      </c>
      <c r="M30" s="4" t="inlineStr">
        <is>
          <t>Community Engagement Log</t>
        </is>
      </c>
      <c r="N30" s="4" t="inlineStr">
        <is>
          <t>Community Orgs List</t>
        </is>
      </c>
      <c r="O30" s="4" t="inlineStr">
        <is>
          <t>Active</t>
        </is>
      </c>
    </row>
    <row r="31">
      <c r="A31" s="4" t="inlineStr">
        <is>
          <t>DSPs with presence at HARVEST</t>
        </is>
      </c>
      <c r="B31" s="4" t="inlineStr">
        <is>
          <t>Direct service providers with recurring on-site presence</t>
        </is>
      </c>
      <c r="C31" s="4" t="inlineStr">
        <is>
          <t>count</t>
        </is>
      </c>
      <c r="D31" s="4" t="inlineStr">
        <is>
          <t>Community Organizations</t>
        </is>
      </c>
      <c r="E31" s="4" t="inlineStr">
        <is>
          <t>Access</t>
        </is>
      </c>
      <c r="F31" s="4" t="inlineStr">
        <is>
          <t>n/a</t>
        </is>
      </c>
      <c r="G31" s="4" t="inlineStr">
        <is>
          <t>Community-Based Org</t>
        </is>
      </c>
      <c r="H31" s="4" t="inlineStr">
        <is>
          <t>Quarterly</t>
        </is>
      </c>
      <c r="I31" s="4" t="inlineStr">
        <is>
          <t>HARVEST Lead</t>
        </is>
      </c>
      <c r="J31" s="4" t="inlineStr">
        <is>
          <t>Form submission</t>
        </is>
      </c>
      <c r="K31" s="4" t="n">
        <v>3</v>
      </c>
      <c r="L31" s="4" t="inlineStr">
        <is>
          <t>Community Outreach Specialist</t>
        </is>
      </c>
      <c r="M31" s="4" t="inlineStr">
        <is>
          <t>Community Engagement Log</t>
        </is>
      </c>
      <c r="N31" s="4" t="inlineStr">
        <is>
          <t>Community Orgs List</t>
        </is>
      </c>
      <c r="O31" s="4" t="inlineStr">
        <is>
          <t>Active</t>
        </is>
      </c>
    </row>
    <row r="32">
      <c r="A32" s="4" t="inlineStr">
        <is>
          <t>Grants and partnerships secured</t>
        </is>
      </c>
      <c r="B32" s="4" t="inlineStr">
        <is>
          <t>New grants or formal partnerships executed</t>
        </is>
      </c>
      <c r="C32" s="4" t="inlineStr">
        <is>
          <t>count</t>
        </is>
      </c>
      <c r="D32" s="4" t="inlineStr">
        <is>
          <t>Investors-Funders</t>
        </is>
      </c>
      <c r="E32" s="4" t="inlineStr">
        <is>
          <t>Stability</t>
        </is>
      </c>
      <c r="F32" s="4" t="inlineStr">
        <is>
          <t>n/a</t>
        </is>
      </c>
      <c r="G32" s="4" t="inlineStr">
        <is>
          <t>Philanthropy</t>
        </is>
      </c>
      <c r="H32" s="4" t="inlineStr">
        <is>
          <t>Per event</t>
        </is>
      </c>
      <c r="I32" s="4" t="inlineStr">
        <is>
          <t>HARVEST Lead</t>
        </is>
      </c>
      <c r="J32" s="4" t="inlineStr">
        <is>
          <t>Form submission</t>
        </is>
      </c>
      <c r="K32" s="4" t="n">
        <v>4</v>
      </c>
      <c r="L32" s="4" t="inlineStr">
        <is>
          <t>Director</t>
        </is>
      </c>
      <c r="M32" s="4" t="inlineStr">
        <is>
          <t>Director &amp; Partnership Log</t>
        </is>
      </c>
      <c r="N32" s="4" t="inlineStr">
        <is>
          <t>Investors-Funders List</t>
        </is>
      </c>
      <c r="O32" s="4" t="inlineStr">
        <is>
          <t>Active</t>
        </is>
      </c>
    </row>
    <row r="33">
      <c r="A33" s="4" t="inlineStr">
        <is>
          <t>% earned revenue</t>
        </is>
      </c>
      <c r="B33" s="4" t="inlineStr">
        <is>
          <t>Earned revenue as % of total revenue</t>
        </is>
      </c>
      <c r="C33" s="4" t="inlineStr">
        <is>
          <t>%</t>
        </is>
      </c>
      <c r="D33" s="4" t="inlineStr">
        <is>
          <t>Investors-Funders</t>
        </is>
      </c>
      <c r="E33" s="4" t="inlineStr">
        <is>
          <t>Stability; Sustainability</t>
        </is>
      </c>
      <c r="F33" s="4" t="inlineStr">
        <is>
          <t>Processing</t>
        </is>
      </c>
      <c r="G33" s="4" t="inlineStr">
        <is>
          <t>Philanthropy</t>
        </is>
      </c>
      <c r="H33" s="4" t="inlineStr">
        <is>
          <t>Quarterly</t>
        </is>
      </c>
      <c r="I33" s="4" t="inlineStr">
        <is>
          <t>HARVEST Lead</t>
        </is>
      </c>
      <c r="J33" s="4" t="inlineStr">
        <is>
          <t>Manual entry</t>
        </is>
      </c>
      <c r="K33" s="4" t="n"/>
      <c r="L33" s="4" t="inlineStr">
        <is>
          <t>Director</t>
        </is>
      </c>
      <c r="M33" s="4" t="inlineStr">
        <is>
          <t>Director &amp; Partnership Log</t>
        </is>
      </c>
      <c r="N33" s="4" t="inlineStr">
        <is>
          <t>Investors-Funders List</t>
        </is>
      </c>
      <c r="O33" s="4" t="inlineStr">
        <is>
          <t>Active</t>
        </is>
      </c>
    </row>
    <row r="34">
      <c r="A34" s="4" t="inlineStr">
        <is>
          <t>Funders and sponsors</t>
        </is>
      </c>
      <c r="B34" s="4" t="inlineStr">
        <is>
          <t>Distinct active funders/sponsors in the period</t>
        </is>
      </c>
      <c r="C34" s="4" t="inlineStr">
        <is>
          <t>count</t>
        </is>
      </c>
      <c r="D34" s="4" t="inlineStr">
        <is>
          <t>Investors-Funders</t>
        </is>
      </c>
      <c r="E34" s="4" t="inlineStr">
        <is>
          <t>Stability</t>
        </is>
      </c>
      <c r="F34" s="4" t="inlineStr">
        <is>
          <t>n/a</t>
        </is>
      </c>
      <c r="G34" s="4" t="inlineStr">
        <is>
          <t>Philanthropy</t>
        </is>
      </c>
      <c r="H34" s="4" t="inlineStr">
        <is>
          <t>Quarterly</t>
        </is>
      </c>
      <c r="I34" s="4" t="inlineStr">
        <is>
          <t>HARVEST Lead</t>
        </is>
      </c>
      <c r="J34" s="4" t="inlineStr">
        <is>
          <t>Form submission</t>
        </is>
      </c>
      <c r="K34" s="4" t="n"/>
      <c r="L34" s="4" t="inlineStr">
        <is>
          <t>Director</t>
        </is>
      </c>
      <c r="M34" s="4" t="inlineStr">
        <is>
          <t>Director &amp; Partnership Log</t>
        </is>
      </c>
      <c r="N34" s="4" t="inlineStr">
        <is>
          <t>Investors-Funders List</t>
        </is>
      </c>
      <c r="O34" s="4" t="inlineStr">
        <is>
          <t>Active</t>
        </is>
      </c>
    </row>
    <row r="35">
      <c r="A35" s="4" t="inlineStr">
        <is>
          <t>Leveraged capital ($)</t>
        </is>
      </c>
      <c r="B35" s="4" t="inlineStr">
        <is>
          <t>Matching grants, investments, in-kind contributions leveraged</t>
        </is>
      </c>
      <c r="C35" s="4" t="inlineStr">
        <is>
          <t>$</t>
        </is>
      </c>
      <c r="D35" s="4" t="inlineStr">
        <is>
          <t>Investors-Funders</t>
        </is>
      </c>
      <c r="E35" s="4" t="inlineStr">
        <is>
          <t>Stability; Sustainability</t>
        </is>
      </c>
      <c r="F35" s="4" t="inlineStr">
        <is>
          <t>n/a</t>
        </is>
      </c>
      <c r="G35" s="4" t="inlineStr">
        <is>
          <t>Philanthropy</t>
        </is>
      </c>
      <c r="H35" s="4" t="inlineStr">
        <is>
          <t>Quarterly</t>
        </is>
      </c>
      <c r="I35" s="4" t="inlineStr">
        <is>
          <t>HARVEST Lead</t>
        </is>
      </c>
      <c r="J35" s="4" t="inlineStr">
        <is>
          <t>Form submission</t>
        </is>
      </c>
      <c r="K35" s="4" t="n"/>
      <c r="L35" s="4" t="inlineStr">
        <is>
          <t>Director</t>
        </is>
      </c>
      <c r="M35" s="4" t="inlineStr">
        <is>
          <t>Director &amp; Partnership Log</t>
        </is>
      </c>
      <c r="N35" s="4" t="inlineStr">
        <is>
          <t>Investors-Funders List</t>
        </is>
      </c>
      <c r="O35" s="4" t="inlineStr">
        <is>
          <t>Active</t>
        </is>
      </c>
    </row>
    <row r="36">
      <c r="A36" s="4" t="inlineStr">
        <is>
          <t>Social return on investment (SROI)</t>
        </is>
      </c>
      <c r="B36" s="4" t="inlineStr">
        <is>
          <t>Ratio of social value created to dollars invested</t>
        </is>
      </c>
      <c r="C36" s="4" t="inlineStr">
        <is>
          <t>ratio</t>
        </is>
      </c>
      <c r="D36" s="4" t="inlineStr">
        <is>
          <t>Investors-Funders</t>
        </is>
      </c>
      <c r="E36" s="4" t="inlineStr">
        <is>
          <t>Sustainability; Stability</t>
        </is>
      </c>
      <c r="F36" s="4" t="inlineStr">
        <is>
          <t>n/a</t>
        </is>
      </c>
      <c r="G36" s="4" t="inlineStr">
        <is>
          <t>Philanthropy</t>
        </is>
      </c>
      <c r="H36" s="4" t="inlineStr">
        <is>
          <t>Annual</t>
        </is>
      </c>
      <c r="I36" s="4" t="inlineStr">
        <is>
          <t>HARVEST Lead</t>
        </is>
      </c>
      <c r="J36" s="4" t="inlineStr">
        <is>
          <t>Manual entry</t>
        </is>
      </c>
      <c r="K36" s="4" t="n"/>
      <c r="L36" s="4" t="inlineStr">
        <is>
          <t>Director</t>
        </is>
      </c>
      <c r="M36" s="4" t="n"/>
      <c r="N36" s="4" t="inlineStr">
        <is>
          <t>Investors-Funders List</t>
        </is>
      </c>
      <c r="O36" s="4" t="inlineStr">
        <is>
          <t>Planned — methodology TBD</t>
        </is>
      </c>
    </row>
    <row r="37">
      <c r="A37" s="4" t="inlineStr">
        <is>
          <t>JSC meetings held</t>
        </is>
      </c>
      <c r="B37" s="4" t="inlineStr">
        <is>
          <t>Joint Steering Committee meetings convened</t>
        </is>
      </c>
      <c r="C37" s="4" t="inlineStr">
        <is>
          <t>count</t>
        </is>
      </c>
      <c r="D37" s="4" t="inlineStr">
        <is>
          <t>Investors-Funders</t>
        </is>
      </c>
      <c r="E37" s="4" t="inlineStr">
        <is>
          <t>Stability</t>
        </is>
      </c>
      <c r="F37" s="4" t="inlineStr">
        <is>
          <t>n/a</t>
        </is>
      </c>
      <c r="G37" s="4" t="inlineStr">
        <is>
          <t>Philanthropy</t>
        </is>
      </c>
      <c r="H37" s="4" t="inlineStr">
        <is>
          <t>Per event</t>
        </is>
      </c>
      <c r="I37" s="4" t="inlineStr">
        <is>
          <t>Joint</t>
        </is>
      </c>
      <c r="J37" s="4" t="inlineStr">
        <is>
          <t>Form submission</t>
        </is>
      </c>
      <c r="K37" s="4" t="n">
        <v>10</v>
      </c>
      <c r="L37" s="4" t="inlineStr">
        <is>
          <t>Director</t>
        </is>
      </c>
      <c r="M37" s="4" t="inlineStr">
        <is>
          <t>Director &amp; Partnership Log</t>
        </is>
      </c>
      <c r="N37" s="4" t="inlineStr">
        <is>
          <t>Investors-Funders List</t>
        </is>
      </c>
      <c r="O37" s="4" t="inlineStr">
        <is>
          <t>Active</t>
        </is>
      </c>
    </row>
    <row r="38">
      <c r="A38" s="4" t="inlineStr">
        <is>
          <t>CAB members onboarded</t>
        </is>
      </c>
      <c r="B38" s="4" t="inlineStr">
        <is>
          <t>Community Advisory Board members across sectors</t>
        </is>
      </c>
      <c r="C38" s="4" t="inlineStr">
        <is>
          <t>count</t>
        </is>
      </c>
      <c r="D38" s="4" t="inlineStr">
        <is>
          <t>Investors-Funders</t>
        </is>
      </c>
      <c r="E38" s="4" t="inlineStr">
        <is>
          <t>Agency; Stability</t>
        </is>
      </c>
      <c r="F38" s="4" t="inlineStr">
        <is>
          <t>n/a</t>
        </is>
      </c>
      <c r="G38" s="4" t="inlineStr">
        <is>
          <t>Community-Based Org</t>
        </is>
      </c>
      <c r="H38" s="4" t="inlineStr">
        <is>
          <t>Per event</t>
        </is>
      </c>
      <c r="I38" s="4" t="inlineStr">
        <is>
          <t>HARVEST Lead</t>
        </is>
      </c>
      <c r="J38" s="4" t="inlineStr">
        <is>
          <t>Form submission</t>
        </is>
      </c>
      <c r="K38" s="4" t="n">
        <v>10</v>
      </c>
      <c r="L38" s="4" t="inlineStr">
        <is>
          <t>Director</t>
        </is>
      </c>
      <c r="M38" s="4" t="inlineStr">
        <is>
          <t>Director &amp; Partnership Log</t>
        </is>
      </c>
      <c r="N38" s="4" t="inlineStr">
        <is>
          <t>Investors-Funders List</t>
        </is>
      </c>
      <c r="O38" s="4" t="inlineStr">
        <is>
          <t>Active</t>
        </is>
      </c>
    </row>
    <row r="39">
      <c r="A39" s="4" t="inlineStr">
        <is>
          <t>CAB meetings held</t>
        </is>
      </c>
      <c r="B39" s="4" t="inlineStr">
        <is>
          <t>CAB meetings convened in the period</t>
        </is>
      </c>
      <c r="C39" s="4" t="inlineStr">
        <is>
          <t>count</t>
        </is>
      </c>
      <c r="D39" s="4" t="inlineStr">
        <is>
          <t>Investors-Funders</t>
        </is>
      </c>
      <c r="E39" s="4" t="inlineStr">
        <is>
          <t>Agency; Stability</t>
        </is>
      </c>
      <c r="F39" s="4" t="inlineStr">
        <is>
          <t>n/a</t>
        </is>
      </c>
      <c r="G39" s="4" t="inlineStr">
        <is>
          <t>Community-Based Org</t>
        </is>
      </c>
      <c r="H39" s="4" t="inlineStr">
        <is>
          <t>Per event</t>
        </is>
      </c>
      <c r="I39" s="4" t="inlineStr">
        <is>
          <t>HARVEST Lead</t>
        </is>
      </c>
      <c r="J39" s="4" t="inlineStr">
        <is>
          <t>Form submission</t>
        </is>
      </c>
      <c r="K39" s="4" t="n">
        <v>2</v>
      </c>
      <c r="L39" s="4" t="inlineStr">
        <is>
          <t>Director</t>
        </is>
      </c>
      <c r="M39" s="4" t="inlineStr">
        <is>
          <t>Director &amp; Partnership Log</t>
        </is>
      </c>
      <c r="N39" s="4" t="inlineStr">
        <is>
          <t>Investors-Funders List</t>
        </is>
      </c>
      <c r="O39" s="4" t="inlineStr">
        <is>
          <t>Active</t>
        </is>
      </c>
    </row>
    <row r="40">
      <c r="A40" s="4" t="inlineStr">
        <is>
          <t>Director community presentations</t>
        </is>
      </c>
      <c r="B40" s="4" t="inlineStr">
        <is>
          <t>Community-facing presentations by the Director</t>
        </is>
      </c>
      <c r="C40" s="4" t="inlineStr">
        <is>
          <t>count</t>
        </is>
      </c>
      <c r="D40" s="4" t="inlineStr">
        <is>
          <t>Investors-Funders</t>
        </is>
      </c>
      <c r="E40" s="4" t="inlineStr">
        <is>
          <t>Agency</t>
        </is>
      </c>
      <c r="F40" s="4" t="inlineStr">
        <is>
          <t>n/a</t>
        </is>
      </c>
      <c r="G40" s="4" t="inlineStr">
        <is>
          <t>Philanthropy</t>
        </is>
      </c>
      <c r="H40" s="4" t="inlineStr">
        <is>
          <t>Per event</t>
        </is>
      </c>
      <c r="I40" s="4" t="inlineStr">
        <is>
          <t>HARVEST Lead</t>
        </is>
      </c>
      <c r="J40" s="4" t="inlineStr">
        <is>
          <t>Form submission</t>
        </is>
      </c>
      <c r="K40" s="4" t="n">
        <v>4</v>
      </c>
      <c r="L40" s="4" t="inlineStr">
        <is>
          <t>Director</t>
        </is>
      </c>
      <c r="M40" s="4" t="inlineStr">
        <is>
          <t>Director &amp; Partnership Log</t>
        </is>
      </c>
      <c r="N40" s="4" t="inlineStr">
        <is>
          <t>Investors-Funders List</t>
        </is>
      </c>
      <c r="O40" s="4" t="inlineStr">
        <is>
          <t>Active</t>
        </is>
      </c>
    </row>
    <row r="41">
      <c r="A41" s="4" t="inlineStr">
        <is>
          <t>Farms engaged</t>
        </is>
      </c>
      <c r="B41" s="4" t="inlineStr">
        <is>
          <t>Distinct farms in active relationship with HARVEST/UAC</t>
        </is>
      </c>
      <c r="C41" s="4" t="inlineStr">
        <is>
          <t>count</t>
        </is>
      </c>
      <c r="D41" s="4" t="inlineStr">
        <is>
          <t>Farmers</t>
        </is>
      </c>
      <c r="E41" s="4" t="inlineStr">
        <is>
          <t>Agency; Stability</t>
        </is>
      </c>
      <c r="F41" s="4" t="inlineStr">
        <is>
          <t>Production</t>
        </is>
      </c>
      <c r="G41" s="4" t="inlineStr">
        <is>
          <t>Agriculture</t>
        </is>
      </c>
      <c r="H41" s="4" t="inlineStr">
        <is>
          <t>Monthly</t>
        </is>
      </c>
      <c r="I41" s="4" t="inlineStr">
        <is>
          <t>UAC Lead</t>
        </is>
      </c>
      <c r="J41" s="4" t="inlineStr">
        <is>
          <t>Form submission</t>
        </is>
      </c>
      <c r="K41" s="4" t="n">
        <v>4</v>
      </c>
      <c r="L41" s="4" t="inlineStr">
        <is>
          <t>UAC Partner</t>
        </is>
      </c>
      <c r="M41" s="4" t="inlineStr">
        <is>
          <t>UAC Farmer Engagement Log</t>
        </is>
      </c>
      <c r="N41" s="4" t="inlineStr">
        <is>
          <t>Farmers List</t>
        </is>
      </c>
      <c r="O41" s="4" t="inlineStr">
        <is>
          <t>Active</t>
        </is>
      </c>
    </row>
    <row r="42">
      <c r="A42" s="4" t="inlineStr">
        <is>
          <t>$ farmer business via HARVEST</t>
        </is>
      </c>
      <c r="B42" s="4" t="inlineStr">
        <is>
          <t>Total $ farmer sales attributable to HARVEST/UAC channels</t>
        </is>
      </c>
      <c r="C42" s="4" t="inlineStr">
        <is>
          <t>$</t>
        </is>
      </c>
      <c r="D42" s="4" t="inlineStr">
        <is>
          <t>Farmers</t>
        </is>
      </c>
      <c r="E42" s="4" t="inlineStr">
        <is>
          <t>Stability; Access</t>
        </is>
      </c>
      <c r="F42" s="4" t="inlineStr">
        <is>
          <t>Aggregation</t>
        </is>
      </c>
      <c r="G42" s="4" t="inlineStr">
        <is>
          <t>Agriculture</t>
        </is>
      </c>
      <c r="H42" s="4" t="inlineStr">
        <is>
          <t>Monthly</t>
        </is>
      </c>
      <c r="I42" s="4" t="inlineStr">
        <is>
          <t>UAC Lead</t>
        </is>
      </c>
      <c r="J42" s="4" t="inlineStr">
        <is>
          <t>Form submission</t>
        </is>
      </c>
      <c r="K42" s="4" t="n"/>
      <c r="L42" s="4" t="inlineStr">
        <is>
          <t>UAC Partner</t>
        </is>
      </c>
      <c r="M42" s="4" t="inlineStr">
        <is>
          <t>UAC Farmer Engagement Log</t>
        </is>
      </c>
      <c r="N42" s="4" t="inlineStr">
        <is>
          <t>Farmers List</t>
        </is>
      </c>
      <c r="O42" s="4" t="inlineStr">
        <is>
          <t>Active</t>
        </is>
      </c>
    </row>
    <row r="43">
      <c r="A43" s="4" t="inlineStr">
        <is>
          <t>Types of produce moved</t>
        </is>
      </c>
      <c r="B43" s="4" t="inlineStr">
        <is>
          <t>Distinct produce types moved through HARVEST/UAC</t>
        </is>
      </c>
      <c r="C43" s="4" t="inlineStr">
        <is>
          <t>count</t>
        </is>
      </c>
      <c r="D43" s="4" t="inlineStr">
        <is>
          <t>Farmers</t>
        </is>
      </c>
      <c r="E43" s="4" t="inlineStr">
        <is>
          <t>Availability</t>
        </is>
      </c>
      <c r="F43" s="4" t="inlineStr">
        <is>
          <t>Aggregation</t>
        </is>
      </c>
      <c r="G43" s="4" t="inlineStr">
        <is>
          <t>Agriculture</t>
        </is>
      </c>
      <c r="H43" s="4" t="inlineStr">
        <is>
          <t>Monthly</t>
        </is>
      </c>
      <c r="I43" s="4" t="inlineStr">
        <is>
          <t>UAC Lead</t>
        </is>
      </c>
      <c r="J43" s="4" t="inlineStr">
        <is>
          <t>Form submission</t>
        </is>
      </c>
      <c r="K43" s="4" t="n"/>
      <c r="L43" s="4" t="inlineStr">
        <is>
          <t>UAC Partner</t>
        </is>
      </c>
      <c r="M43" s="4" t="inlineStr">
        <is>
          <t>UAC Farmer Engagement Log</t>
        </is>
      </c>
      <c r="N43" s="4" t="inlineStr">
        <is>
          <t>Farmers List</t>
        </is>
      </c>
      <c r="O43" s="4" t="inlineStr">
        <is>
          <t>Active</t>
        </is>
      </c>
    </row>
    <row r="44">
      <c r="A44" s="4" t="inlineStr">
        <is>
          <t>lbs of produce moved</t>
        </is>
      </c>
      <c r="B44" s="4" t="inlineStr">
        <is>
          <t>Total lbs of produce aggregated/distributed via HARVEST/UAC</t>
        </is>
      </c>
      <c r="C44" s="4" t="inlineStr">
        <is>
          <t>lbs</t>
        </is>
      </c>
      <c r="D44" s="4" t="inlineStr">
        <is>
          <t>Farmers</t>
        </is>
      </c>
      <c r="E44" s="4" t="inlineStr">
        <is>
          <t>Availability; Access</t>
        </is>
      </c>
      <c r="F44" s="4" t="inlineStr">
        <is>
          <t>Aggregation</t>
        </is>
      </c>
      <c r="G44" s="4" t="inlineStr">
        <is>
          <t>Agriculture</t>
        </is>
      </c>
      <c r="H44" s="4" t="inlineStr">
        <is>
          <t>Monthly</t>
        </is>
      </c>
      <c r="I44" s="4" t="inlineStr">
        <is>
          <t>UAC Lead</t>
        </is>
      </c>
      <c r="J44" s="4" t="inlineStr">
        <is>
          <t>Form submission</t>
        </is>
      </c>
      <c r="K44" s="4" t="n"/>
      <c r="L44" s="4" t="inlineStr">
        <is>
          <t>UAC Partner</t>
        </is>
      </c>
      <c r="M44" s="4" t="inlineStr">
        <is>
          <t>UAC Farmer Engagement Log</t>
        </is>
      </c>
      <c r="N44" s="4" t="inlineStr">
        <is>
          <t>Farmers List</t>
        </is>
      </c>
      <c r="O44" s="4" t="inlineStr">
        <is>
          <t>Active</t>
        </is>
      </c>
    </row>
    <row r="45">
      <c r="A45" s="4" t="inlineStr">
        <is>
          <t>Farmers making value-added products</t>
        </is>
      </c>
      <c r="B45" s="4" t="inlineStr">
        <is>
          <t>Farmers using HARVEST for value-added production</t>
        </is>
      </c>
      <c r="C45" s="4" t="inlineStr">
        <is>
          <t>count</t>
        </is>
      </c>
      <c r="D45" s="4" t="inlineStr">
        <is>
          <t>Farmers</t>
        </is>
      </c>
      <c r="E45" s="4" t="inlineStr">
        <is>
          <t>Agency; Stability</t>
        </is>
      </c>
      <c r="F45" s="4" t="inlineStr">
        <is>
          <t>Processing</t>
        </is>
      </c>
      <c r="G45" s="4" t="inlineStr">
        <is>
          <t>Agriculture</t>
        </is>
      </c>
      <c r="H45" s="4" t="inlineStr">
        <is>
          <t>Monthly</t>
        </is>
      </c>
      <c r="I45" s="4" t="inlineStr">
        <is>
          <t>UAC Lead</t>
        </is>
      </c>
      <c r="J45" s="4" t="inlineStr">
        <is>
          <t>Form submission</t>
        </is>
      </c>
      <c r="K45" s="4" t="n"/>
      <c r="L45" s="4" t="inlineStr">
        <is>
          <t>UAC Partner</t>
        </is>
      </c>
      <c r="M45" s="4" t="inlineStr">
        <is>
          <t>UAC Farmer Engagement Log</t>
        </is>
      </c>
      <c r="N45" s="4" t="inlineStr">
        <is>
          <t>Farmers List</t>
        </is>
      </c>
      <c r="O45" s="4" t="inlineStr">
        <is>
          <t>Active</t>
        </is>
      </c>
    </row>
    <row r="46">
      <c r="A46" s="4" t="inlineStr">
        <is>
          <t>Food waste diversion (lbs)</t>
        </is>
      </c>
      <c r="B46" s="4" t="inlineStr">
        <is>
          <t>lbs of food waste diverted from landfill (any pathway)</t>
        </is>
      </c>
      <c r="C46" s="4" t="inlineStr">
        <is>
          <t>lbs</t>
        </is>
      </c>
      <c r="D46" s="4" t="inlineStr">
        <is>
          <t>Environmental Sustainability</t>
        </is>
      </c>
      <c r="E46" s="4" t="inlineStr">
        <is>
          <t>Sustainability</t>
        </is>
      </c>
      <c r="F46" s="4" t="inlineStr">
        <is>
          <t>Recovery-Waste</t>
        </is>
      </c>
      <c r="G46" s="4" t="inlineStr">
        <is>
          <t>Community-Based Org</t>
        </is>
      </c>
      <c r="H46" s="4" t="inlineStr">
        <is>
          <t>Monthly</t>
        </is>
      </c>
      <c r="I46" s="4" t="inlineStr">
        <is>
          <t>HARVEST Lead</t>
        </is>
      </c>
      <c r="J46" s="4" t="inlineStr">
        <is>
          <t>Form submission</t>
        </is>
      </c>
      <c r="K46" s="4" t="n">
        <v>1000</v>
      </c>
      <c r="L46" s="4" t="inlineStr">
        <is>
          <t>Logistics Manager</t>
        </is>
      </c>
      <c r="M46" s="4" t="inlineStr">
        <is>
          <t>Kitchen Operations Log</t>
        </is>
      </c>
      <c r="N46" s="4" t="inlineStr">
        <is>
          <t>Environmental List</t>
        </is>
      </c>
      <c r="O46" s="4" t="inlineStr">
        <is>
          <t>Active</t>
        </is>
      </c>
    </row>
    <row r="47">
      <c r="A47" s="4" t="inlineStr">
        <is>
          <t>Composted (lbs)</t>
        </is>
      </c>
      <c r="B47" s="4" t="inlineStr">
        <is>
          <t>lbs of food waste composted</t>
        </is>
      </c>
      <c r="C47" s="4" t="inlineStr">
        <is>
          <t>lbs</t>
        </is>
      </c>
      <c r="D47" s="4" t="inlineStr">
        <is>
          <t>Environmental Sustainability</t>
        </is>
      </c>
      <c r="E47" s="4" t="inlineStr">
        <is>
          <t>Sustainability</t>
        </is>
      </c>
      <c r="F47" s="4" t="inlineStr">
        <is>
          <t>Recovery-Waste</t>
        </is>
      </c>
      <c r="G47" s="4" t="inlineStr">
        <is>
          <t>Community-Based Org</t>
        </is>
      </c>
      <c r="H47" s="4" t="inlineStr">
        <is>
          <t>Monthly</t>
        </is>
      </c>
      <c r="I47" s="4" t="inlineStr">
        <is>
          <t>HARVEST Lead</t>
        </is>
      </c>
      <c r="J47" s="4" t="inlineStr">
        <is>
          <t>Form submission</t>
        </is>
      </c>
      <c r="K47" s="4" t="n"/>
      <c r="L47" s="4" t="inlineStr">
        <is>
          <t>Logistics Manager</t>
        </is>
      </c>
      <c r="M47" s="4" t="inlineStr">
        <is>
          <t>Kitchen Operations Log</t>
        </is>
      </c>
      <c r="N47" s="4" t="inlineStr">
        <is>
          <t>Environmental List</t>
        </is>
      </c>
      <c r="O47" s="4" t="inlineStr">
        <is>
          <t>Active</t>
        </is>
      </c>
    </row>
    <row r="48">
      <c r="A48" s="4" t="inlineStr">
        <is>
          <t>Local food miles (avg)</t>
        </is>
      </c>
      <c r="B48" s="4" t="inlineStr">
        <is>
          <t>Avg distance (miles) from source to HARVEST</t>
        </is>
      </c>
      <c r="C48" s="4" t="inlineStr">
        <is>
          <t>miles</t>
        </is>
      </c>
      <c r="D48" s="4" t="inlineStr">
        <is>
          <t>Environmental Sustainability</t>
        </is>
      </c>
      <c r="E48" s="4" t="inlineStr">
        <is>
          <t>Sustainability</t>
        </is>
      </c>
      <c r="F48" s="4" t="inlineStr">
        <is>
          <t>Distribution</t>
        </is>
      </c>
      <c r="G48" s="4" t="inlineStr">
        <is>
          <t>Agriculture</t>
        </is>
      </c>
      <c r="H48" s="4" t="inlineStr">
        <is>
          <t>Quarterly</t>
        </is>
      </c>
      <c r="I48" s="4" t="inlineStr">
        <is>
          <t>UAC Lead</t>
        </is>
      </c>
      <c r="J48" s="4" t="inlineStr">
        <is>
          <t>System-calculated</t>
        </is>
      </c>
      <c r="K48" s="4" t="n"/>
      <c r="L48" s="4" t="inlineStr">
        <is>
          <t>UAC Partner</t>
        </is>
      </c>
      <c r="M48" s="4" t="n"/>
      <c r="N48" s="4" t="inlineStr">
        <is>
          <t>Environmental List</t>
        </is>
      </c>
      <c r="O48" s="4" t="inlineStr">
        <is>
          <t>Active</t>
        </is>
      </c>
    </row>
    <row r="49">
      <c r="A49" s="4" t="inlineStr">
        <is>
          <t>Food captured for demos (lbs)</t>
        </is>
      </c>
      <c r="B49" s="4" t="inlineStr">
        <is>
          <t>lbs of food used in demos instead of being wasted</t>
        </is>
      </c>
      <c r="C49" s="4" t="inlineStr">
        <is>
          <t>lbs</t>
        </is>
      </c>
      <c r="D49" s="4" t="inlineStr">
        <is>
          <t>Environmental Sustainability</t>
        </is>
      </c>
      <c r="E49" s="4" t="inlineStr">
        <is>
          <t>Sustainability; Utilization</t>
        </is>
      </c>
      <c r="F49" s="4" t="inlineStr">
        <is>
          <t>Recovery-Waste</t>
        </is>
      </c>
      <c r="G49" s="4" t="inlineStr">
        <is>
          <t>Healthcare</t>
        </is>
      </c>
      <c r="H49" s="4" t="inlineStr">
        <is>
          <t>Per event</t>
        </is>
      </c>
      <c r="I49" s="4" t="inlineStr">
        <is>
          <t>HARVEST Lead</t>
        </is>
      </c>
      <c r="J49" s="4" t="inlineStr">
        <is>
          <t>Form submission</t>
        </is>
      </c>
      <c r="K49" s="4" t="n"/>
      <c r="L49" s="4" t="inlineStr">
        <is>
          <t>Culinary Manager</t>
        </is>
      </c>
      <c r="M49" s="4" t="inlineStr">
        <is>
          <t>Culinary &amp; Training Log</t>
        </is>
      </c>
      <c r="N49" s="4" t="inlineStr">
        <is>
          <t>Environmental List</t>
        </is>
      </c>
      <c r="O49" s="4" t="inlineStr">
        <is>
          <t>Active</t>
        </is>
      </c>
    </row>
  </sheetData>
  <sheetProtection selectLockedCells="0" selectUnlockedCells="0" sheet="1" objects="0" insertRows="1" insertHyperlinks="1" autoFilter="1" scenarios="0" formatColumns="1" deleteColumns="1" insertColumns="1" pivotTables="1" deleteRows="1" formatCells="1" formatRows="1" sort="1"/>
  <conditionalFormatting sqref="A2:O49">
    <cfRule type="expression" priority="1" dxfId="0">
      <formula>$O2="Planned — methodology TBD"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32" customWidth="1" min="1" max="1"/>
    <col width="38" customWidth="1" min="2" max="2"/>
    <col width="32" customWidth="1" min="3" max="3"/>
    <col width="12" customWidth="1" min="4" max="4"/>
    <col width="14" customWidth="1" min="5" max="5"/>
    <col width="14" customWidth="1" min="6" max="6"/>
    <col width="14" customWidth="1" min="7" max="7"/>
  </cols>
  <sheetData>
    <row r="1" ht="36" customHeight="1">
      <c r="A1" s="6" t="inlineStr">
        <is>
          <t>HARVEST — 2026 Performance Goals</t>
        </is>
      </c>
    </row>
    <row r="2" ht="22" customHeight="1">
      <c r="A2" s="7" t="inlineStr">
        <is>
          <t>Live status against the Director's 2026 annual review goals. Refresh the workbook (Data → Refresh All) before screenshotting.</t>
        </is>
      </c>
    </row>
    <row r="4" ht="32" customHeight="1">
      <c r="A4" s="5" t="inlineStr">
        <is>
          <t>Goal</t>
        </is>
      </c>
      <c r="B4" s="5" t="inlineStr">
        <is>
          <t>Sub-goal</t>
        </is>
      </c>
      <c r="C4" s="5" t="inlineStr">
        <is>
          <t>Linked metric</t>
        </is>
      </c>
      <c r="D4" s="5" t="inlineStr">
        <is>
          <t>Target</t>
        </is>
      </c>
      <c r="E4" s="5" t="inlineStr">
        <is>
          <t>Current</t>
        </is>
      </c>
      <c r="F4" s="5" t="inlineStr">
        <is>
          <t>% Progress</t>
        </is>
      </c>
      <c r="G4" s="5" t="inlineStr">
        <is>
          <t>Status</t>
        </is>
      </c>
    </row>
    <row r="5" ht="30" customHeight="1">
      <c r="A5" s="8" t="inlineStr">
        <is>
          <t>1. Kitchen launch / operations</t>
        </is>
      </c>
      <c r="B5" s="8" t="inlineStr">
        <is>
          <t>Founding cohort — members converted</t>
        </is>
      </c>
      <c r="C5" s="8" t="inlineStr">
        <is>
          <t>Entrepreneurs converted to renting members</t>
        </is>
      </c>
      <c r="D5" s="8" t="n">
        <v>8</v>
      </c>
      <c r="E5" s="8">
        <f>SUMIFS(tbl_Entrepreneurs[New_Members],tbl_Entrepreneurs[Reporting_Period_End],"&gt;="&amp;DATE(2026,1,1),tbl_Entrepreneurs[Reporting_Period_End],"&lt;="&amp;DATE(2026,12,31))</f>
        <v/>
      </c>
      <c r="F5" s="9">
        <f>IFERROR(E5/D5,0)</f>
        <v/>
      </c>
      <c r="G5" s="8">
        <f>IF(D5="","",IF(F5&gt;=1,"On track",IF(F5&gt;=0.5,"In progress","At risk")))</f>
        <v/>
      </c>
    </row>
    <row r="6" ht="30" customHeight="1">
      <c r="A6" s="8" t="inlineStr">
        <is>
          <t>1. Kitchen launch / operations</t>
        </is>
      </c>
      <c r="B6" s="8" t="inlineStr">
        <is>
          <t>ServSafe pass rate</t>
        </is>
      </c>
      <c r="C6" s="8" t="inlineStr">
        <is>
          <t>% members achieving ServSafe</t>
        </is>
      </c>
      <c r="D6" s="8" t="n">
        <v>100</v>
      </c>
      <c r="E6" s="8">
        <f>IFERROR(SUMIFS(tbl_Entrepreneurs[ServSafe_Passed],tbl_Entrepreneurs[Reporting_Period_End],"&gt;="&amp;DATE(2026,1,1))/SUMIFS(tbl_Entrepreneurs[ServSafe_Attempted],tbl_Entrepreneurs[Reporting_Period_End],"&gt;="&amp;DATE(2026,1,1))*100,0)</f>
        <v/>
      </c>
      <c r="F6" s="9">
        <f>IFERROR(E6/D6,0)</f>
        <v/>
      </c>
      <c r="G6" s="8">
        <f>IF(D6="","",IF(F6&gt;=1,"On track",IF(F6&gt;=0.5,"In progress","At risk")))</f>
        <v/>
      </c>
    </row>
    <row r="7" ht="30" customHeight="1">
      <c r="A7" s="8" t="inlineStr">
        <is>
          <t>1. Kitchen launch / operations</t>
        </is>
      </c>
      <c r="B7" s="8" t="inlineStr">
        <is>
          <t>Kitchen rental hours</t>
        </is>
      </c>
      <c r="C7" s="8" t="inlineStr">
        <is>
          <t>Kitchen hours rented</t>
        </is>
      </c>
      <c r="D7" s="8" t="n">
        <v>1500</v>
      </c>
      <c r="E7" s="8">
        <f>SUM(tbl_FoodCorridor[Hours])</f>
        <v/>
      </c>
      <c r="F7" s="9">
        <f>IFERROR(E7/D7,0)</f>
        <v/>
      </c>
      <c r="G7" s="8">
        <f>IF(D7="","",IF(F7&gt;=1,"On track",IF(F7&gt;=0.5,"In progress","At risk")))</f>
        <v/>
      </c>
    </row>
    <row r="8" ht="30" customHeight="1">
      <c r="A8" s="8" t="inlineStr">
        <is>
          <t>2. Structural documentation</t>
        </is>
      </c>
      <c r="B8" s="8" t="inlineStr">
        <is>
          <t>SOPs, guiding docs complete</t>
        </is>
      </c>
      <c r="C8" s="8" t="inlineStr">
        <is>
          <t>—</t>
        </is>
      </c>
      <c r="D8" s="8" t="n"/>
      <c r="E8" s="8">
        <f>"See shared drive folder"</f>
        <v/>
      </c>
      <c r="F8" s="10" t="inlineStr"/>
      <c r="G8" s="8" t="inlineStr">
        <is>
          <t>Tracked outside KPI system</t>
        </is>
      </c>
    </row>
    <row r="9" ht="30" customHeight="1">
      <c r="A9" s="8" t="inlineStr">
        <is>
          <t>3. UAC partnership maintenance</t>
        </is>
      </c>
      <c r="B9" s="8" t="inlineStr">
        <is>
          <t>JSC meetings held</t>
        </is>
      </c>
      <c r="C9" s="8" t="inlineStr">
        <is>
          <t>JSC meetings held</t>
        </is>
      </c>
      <c r="D9" s="8" t="n">
        <v>10</v>
      </c>
      <c r="E9" s="8">
        <f>COUNTIFS(tbl_Funders[Activity_Type],"JSC Meeting",tbl_Funders[Submitted_Date],"&gt;="&amp;DATE(2026,1,1))</f>
        <v/>
      </c>
      <c r="F9" s="9">
        <f>IFERROR(E9/D9,0)</f>
        <v/>
      </c>
      <c r="G9" s="8">
        <f>IF(D9="","",IF(F9&gt;=1,"On track",IF(F9&gt;=0.5,"In progress","At risk")))</f>
        <v/>
      </c>
    </row>
    <row r="10" ht="30" customHeight="1">
      <c r="A10" s="8" t="inlineStr">
        <is>
          <t>3. UAC partnership maintenance</t>
        </is>
      </c>
      <c r="B10" s="8" t="inlineStr">
        <is>
          <t>Shared data framework operational</t>
        </is>
      </c>
      <c r="C10" s="8" t="inlineStr">
        <is>
          <t>Binary status</t>
        </is>
      </c>
      <c r="D10" s="8" t="n">
        <v>1</v>
      </c>
      <c r="E10" s="8">
        <f>1</f>
        <v/>
      </c>
      <c r="F10" s="9">
        <f>IFERROR(E10/D10,0)</f>
        <v/>
      </c>
      <c r="G10" s="8">
        <f>IF(D10="","",IF(F10&gt;=1,"On track",IF(F10&gt;=0.5,"In progress","At risk")))</f>
        <v/>
      </c>
    </row>
    <row r="11" ht="30" customHeight="1">
      <c r="A11" s="8" t="inlineStr">
        <is>
          <t>3. UAC partnership maintenance</t>
        </is>
      </c>
      <c r="B11" s="8" t="inlineStr">
        <is>
          <t>UAC-affiliated farmers engaged</t>
        </is>
      </c>
      <c r="C11" s="8" t="inlineStr">
        <is>
          <t>Farms engaged</t>
        </is>
      </c>
      <c r="D11" s="8" t="n">
        <v>4</v>
      </c>
      <c r="E11" s="8">
        <f>IFERROR(ROWS(UNIQUE(FILTER(tbl_Farmers[Farm_Name],tbl_Farmers[Farm_Name]&lt;&gt;""))),0)</f>
        <v/>
      </c>
      <c r="F11" s="9">
        <f>IFERROR(E11/D11,0)</f>
        <v/>
      </c>
      <c r="G11" s="8">
        <f>IF(D11="","",IF(F11&gt;=1,"On track",IF(F11&gt;=0.5,"In progress","At risk")))</f>
        <v/>
      </c>
    </row>
    <row r="12" ht="30" customHeight="1">
      <c r="A12" s="8" t="inlineStr">
        <is>
          <t>4. CAB development</t>
        </is>
      </c>
      <c r="B12" s="8" t="inlineStr">
        <is>
          <t>CAB members across sectors</t>
        </is>
      </c>
      <c r="C12" s="8" t="inlineStr">
        <is>
          <t>CAB members onboarded</t>
        </is>
      </c>
      <c r="D12" s="8" t="n">
        <v>10</v>
      </c>
      <c r="E12" s="8">
        <f>COUNTIFS(tbl_Funders[Activity_Type],"CAB Member Added",tbl_Funders[Submitted_Date],"&gt;="&amp;DATE(2026,1,1))</f>
        <v/>
      </c>
      <c r="F12" s="9">
        <f>IFERROR(E12/D12,0)</f>
        <v/>
      </c>
      <c r="G12" s="8">
        <f>IF(D12="","",IF(F12&gt;=1,"On track",IF(F12&gt;=0.5,"In progress","At risk")))</f>
        <v/>
      </c>
    </row>
    <row r="13" ht="30" customHeight="1">
      <c r="A13" s="8" t="inlineStr">
        <is>
          <t>4. CAB development</t>
        </is>
      </c>
      <c r="B13" s="8" t="inlineStr">
        <is>
          <t>CAB meetings held by year-end</t>
        </is>
      </c>
      <c r="C13" s="8" t="inlineStr">
        <is>
          <t>CAB meetings held</t>
        </is>
      </c>
      <c r="D13" s="8" t="n">
        <v>2</v>
      </c>
      <c r="E13" s="8">
        <f>COUNTIFS(tbl_Funders[Activity_Type],"CAB Meeting",tbl_Funders[Submitted_Date],"&gt;="&amp;DATE(2026,1,1))</f>
        <v/>
      </c>
      <c r="F13" s="9">
        <f>IFERROR(E13/D13,0)</f>
        <v/>
      </c>
      <c r="G13" s="8">
        <f>IF(D13="","",IF(F13&gt;=1,"On track",IF(F13&gt;=0.5,"In progress","At risk")))</f>
        <v/>
      </c>
    </row>
    <row r="14" ht="30" customHeight="1">
      <c r="A14" s="8" t="inlineStr">
        <is>
          <t>5. Professional development</t>
        </is>
      </c>
      <c r="B14" s="8" t="inlineStr">
        <is>
          <t>Shared Kitchen Summit attendance</t>
        </is>
      </c>
      <c r="C14" s="8" t="inlineStr">
        <is>
          <t>PD activity log</t>
        </is>
      </c>
      <c r="D14" s="8" t="n">
        <v>1</v>
      </c>
      <c r="E14" s="8">
        <f>COUNTIFS(tbl_Funders[Activity_Type],"Professional Development",tbl_Funders[Notes],"*Shared Kitchen Summit*")</f>
        <v/>
      </c>
      <c r="F14" s="9">
        <f>IFERROR(E14/D14,0)</f>
        <v/>
      </c>
      <c r="G14" s="8">
        <f>IF(D14="","",IF(F14&gt;=1,"On track",IF(F14&gt;=0.5,"In progress","At risk")))</f>
        <v/>
      </c>
    </row>
    <row r="15" ht="30" customHeight="1">
      <c r="A15" s="8" t="inlineStr">
        <is>
          <t>5. Professional development</t>
        </is>
      </c>
      <c r="B15" s="8" t="inlineStr">
        <is>
          <t>ServSafe Manager Cert (Director)</t>
        </is>
      </c>
      <c r="C15" s="8" t="inlineStr">
        <is>
          <t>PD activity log</t>
        </is>
      </c>
      <c r="D15" s="8" t="n">
        <v>1</v>
      </c>
      <c r="E15" s="8">
        <f>COUNTIFS(tbl_Funders[Activity_Type],"Professional Development",tbl_Funders[Notes],"*ServSafe Manager*")</f>
        <v/>
      </c>
      <c r="F15" s="9">
        <f>IFERROR(E15/D15,0)</f>
        <v/>
      </c>
      <c r="G15" s="8">
        <f>IF(D15="","",IF(F15&gt;=1,"On track",IF(F15&gt;=0.5,"In progress","At risk")))</f>
        <v/>
      </c>
    </row>
    <row r="16" ht="30" customHeight="1">
      <c r="A16" s="8" t="inlineStr">
        <is>
          <t>5. Professional development</t>
        </is>
      </c>
      <c r="B16" s="8" t="inlineStr">
        <is>
          <t>Community presentations</t>
        </is>
      </c>
      <c r="C16" s="8" t="inlineStr">
        <is>
          <t>Director community presentations</t>
        </is>
      </c>
      <c r="D16" s="8" t="n">
        <v>4</v>
      </c>
      <c r="E16" s="8">
        <f>COUNTIFS(tbl_Funders[Activity_Type],"Professional Development",tbl_Funders[Notes],"*Community Presentation*")</f>
        <v/>
      </c>
      <c r="F16" s="9">
        <f>IFERROR(E16/D16,0)</f>
        <v/>
      </c>
      <c r="G16" s="8">
        <f>IF(D16="","",IF(F16&gt;=1,"On track",IF(F16&gt;=0.5,"In progress","At risk")))</f>
        <v/>
      </c>
    </row>
  </sheetData>
  <sheetProtection selectLockedCells="0" selectUnlockedCells="0" sheet="1" objects="0" insertRows="1" insertHyperlinks="1" autoFilter="1" scenarios="0" formatColumns="1" deleteColumns="1" insertColumns="1" pivotTables="1" deleteRows="1" formatCells="1" formatRows="1" sort="1"/>
  <mergeCells count="2">
    <mergeCell ref="A2:G2"/>
    <mergeCell ref="A1:G1"/>
  </mergeCells>
  <conditionalFormatting sqref="G5:G16">
    <cfRule type="cellIs" priority="1" operator="equal" dxfId="1">
      <formula>"On track"</formula>
    </cfRule>
    <cfRule type="cellIs" priority="2" operator="equal" dxfId="0">
      <formula>"In progress"</formula>
    </cfRule>
    <cfRule type="cellIs" priority="3" operator="equal" dxfId="2">
      <formula>"At risk"</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ht="36" customHeight="1">
      <c r="A1" s="6" t="inlineStr">
        <is>
          <t>HARVEST — Executive Summary</t>
        </is>
      </c>
    </row>
    <row r="2" ht="22" customHeight="1">
      <c r="A2" s="7" t="inlineStr">
        <is>
          <t>Top-line metrics across all six audiences. Refresh: Data → Refresh All.</t>
        </is>
      </c>
    </row>
    <row r="4" ht="22" customHeight="1">
      <c r="A4" s="11" t="inlineStr">
        <is>
          <t>Active member businesses</t>
        </is>
      </c>
      <c r="C4" s="11" t="inlineStr">
        <is>
          <t>Kitchen hours rented (YTD)</t>
        </is>
      </c>
      <c r="E4" s="11" t="inlineStr">
        <is>
          <t>Workshops &amp; TA sessions (YTD)</t>
        </is>
      </c>
    </row>
    <row r="5" ht="30" customHeight="1">
      <c r="A5" s="12">
        <f>IFERROR(ROWS(UNIQUE(FILTER(tbl_Entrepreneurs[Business_Name],((tbl_Entrepreneurs[Stage]="Active Member")+(tbl_Entrepreneurs[Stage]="Onboarding"))*(tbl_Entrepreneurs[Business_Name]&lt;&gt;"")))),0)</f>
        <v/>
      </c>
      <c r="C5" s="12">
        <f>SUM(tbl_FoodCorridor[Hours])</f>
        <v/>
      </c>
      <c r="E5" s="12">
        <f>COUNTIFS(tbl_Entrepreneurs[Notes],"*workshop*")+COUNTIFS(tbl_Entrepreneurs[Notes],"*TA*")</f>
        <v/>
      </c>
    </row>
    <row r="6" ht="8" customHeight="1"/>
    <row r="8" ht="22" customHeight="1">
      <c r="A8" s="11" t="inlineStr">
        <is>
          <t>Community event participants (YTD)</t>
        </is>
      </c>
      <c r="C8" s="11" t="inlineStr">
        <is>
          <t>Food recovery to providers (lbs)</t>
        </is>
      </c>
      <c r="E8" s="11" t="inlineStr">
        <is>
          <t>Food waste diverted (lbs)</t>
        </is>
      </c>
    </row>
    <row r="9" ht="30" customHeight="1">
      <c r="A9" s="12">
        <f>SUM(tbl_Community[Attendance_Count])</f>
        <v/>
      </c>
      <c r="C9" s="12">
        <f>SUM(tbl_Community[Food_Recovery_lbs])+SUMIFS(tbl_Environmental[lbs_Value],tbl_Environmental[Disposition],"Donated")</f>
        <v/>
      </c>
      <c r="E9" s="12">
        <f>SUMIFS(tbl_Environmental[lbs_Value],tbl_Environmental[Activity_Type],"Food Waste Diverted")</f>
        <v/>
      </c>
    </row>
    <row r="10" ht="8" customHeight="1"/>
    <row r="12" ht="22" customHeight="1">
      <c r="A12" s="11" t="inlineStr">
        <is>
          <t>Grants secured ($)</t>
        </is>
      </c>
      <c r="C12" s="11" t="inlineStr">
        <is>
          <t>Farms engaged</t>
        </is>
      </c>
      <c r="E12" s="11" t="inlineStr">
        <is>
          <t>Produce moved (lbs)</t>
        </is>
      </c>
    </row>
    <row r="13" ht="30" customHeight="1">
      <c r="A13" s="13">
        <f>SUMIFS(tbl_Funders[Amount_$],tbl_Funders[Activity_Type],"Grant")</f>
        <v/>
      </c>
      <c r="C13" s="12">
        <f>IFERROR(ROWS(UNIQUE(FILTER(tbl_Farmers[Farm_Name],tbl_Farmers[Farm_Name]&lt;&gt;""))),0)</f>
        <v/>
      </c>
      <c r="E13" s="12">
        <f>SUM(tbl_Farmers[Produce_lbs])</f>
        <v/>
      </c>
    </row>
    <row r="14" ht="8" customHeight="1"/>
    <row r="17" ht="26" customHeight="1">
      <c r="A17" s="14" t="inlineStr">
        <is>
          <t>By OFSA Dimension — count of KPIs tagged</t>
        </is>
      </c>
    </row>
    <row r="18" ht="22" customHeight="1">
      <c r="A18" s="15" t="inlineStr">
        <is>
          <t>Availability</t>
        </is>
      </c>
      <c r="B18" s="15" t="inlineStr">
        <is>
          <t>Access</t>
        </is>
      </c>
      <c r="C18" s="15" t="inlineStr">
        <is>
          <t>Utilization</t>
        </is>
      </c>
      <c r="D18" s="15" t="inlineStr">
        <is>
          <t>Stability</t>
        </is>
      </c>
      <c r="E18" s="15" t="inlineStr">
        <is>
          <t>Agency</t>
        </is>
      </c>
      <c r="F18" s="15" t="inlineStr">
        <is>
          <t>Sustainability</t>
        </is>
      </c>
    </row>
    <row r="19" ht="30" customHeight="1">
      <c r="A19" s="16">
        <f>COUNTIF(tbl_KPI_Catalog[OFSA Dimension(s)],"*Availability*")</f>
        <v/>
      </c>
      <c r="B19" s="16">
        <f>COUNTIF(tbl_KPI_Catalog[OFSA Dimension(s)],"*Access*")</f>
        <v/>
      </c>
      <c r="C19" s="16">
        <f>COUNTIF(tbl_KPI_Catalog[OFSA Dimension(s)],"*Utilization*")</f>
        <v/>
      </c>
      <c r="D19" s="16">
        <f>COUNTIF(tbl_KPI_Catalog[OFSA Dimension(s)],"*Stability*")</f>
        <v/>
      </c>
      <c r="E19" s="16">
        <f>COUNTIF(tbl_KPI_Catalog[OFSA Dimension(s)],"*Agency*")</f>
        <v/>
      </c>
      <c r="F19" s="16">
        <f>COUNTIF(tbl_KPI_Catalog[OFSA Dimension(s)],"*Sustainability*")</f>
        <v/>
      </c>
    </row>
  </sheetData>
  <sheetProtection selectLockedCells="0" selectUnlockedCells="0" sheet="1" objects="0" insertRows="1" insertHyperlinks="1" autoFilter="1" scenarios="0" formatColumns="1" deleteColumns="1" insertColumns="1" pivotTables="1" deleteRows="1" formatCells="1" formatRows="1" sort="1"/>
  <mergeCells count="21">
    <mergeCell ref="E12:F12"/>
    <mergeCell ref="A5:B6"/>
    <mergeCell ref="E8:F8"/>
    <mergeCell ref="C4:D4"/>
    <mergeCell ref="A2:F2"/>
    <mergeCell ref="E4:F4"/>
    <mergeCell ref="A13:B14"/>
    <mergeCell ref="A17:F17"/>
    <mergeCell ref="C13:D14"/>
    <mergeCell ref="A9:B10"/>
    <mergeCell ref="A12:B12"/>
    <mergeCell ref="C12:D12"/>
    <mergeCell ref="C5:D6"/>
    <mergeCell ref="E5:F6"/>
    <mergeCell ref="A8:B8"/>
    <mergeCell ref="C8:D8"/>
    <mergeCell ref="E13:F14"/>
    <mergeCell ref="A4:B4"/>
    <mergeCell ref="A1:F1"/>
    <mergeCell ref="C9:D10"/>
    <mergeCell ref="E9:F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6"/>
  <sheetViews>
    <sheetView showGridLines="0" workbookViewId="0">
      <pane ySplit="3" topLeftCell="A4" activePane="bottomLeft" state="frozen"/>
      <selection pane="bottomLeft" activeCell="A1" sqref="A1"/>
    </sheetView>
  </sheetViews>
  <sheetFormatPr baseColWidth="8" defaultRowHeight="15"/>
  <cols>
    <col width="42" customWidth="1" min="1" max="1"/>
    <col width="24" customWidth="1" min="2" max="2"/>
    <col width="8" customWidth="1" min="3" max="3"/>
    <col width="12" customWidth="1" min="4" max="4"/>
    <col width="22" customWidth="1" min="5" max="5"/>
  </cols>
  <sheetData>
    <row r="1" ht="36" customHeight="1">
      <c r="A1" s="6" t="inlineStr">
        <is>
          <t>HARVEST — By OFSA Dimension</t>
        </is>
      </c>
    </row>
    <row r="2" ht="22" customHeight="1">
      <c r="A2" s="7" t="inlineStr">
        <is>
          <t>Every KPI tagged to each of the OFSA Six Dimensions. Bridge to the logic model phase.</t>
        </is>
      </c>
    </row>
    <row r="4" ht="28" customHeight="1">
      <c r="A4" s="17" t="inlineStr">
        <is>
          <t>Availability</t>
        </is>
      </c>
    </row>
    <row r="5" ht="18" customHeight="1">
      <c r="A5" s="18" t="inlineStr">
        <is>
          <t>KPI</t>
        </is>
      </c>
      <c r="B5" s="18" t="inlineStr">
        <is>
          <t>Audience</t>
        </is>
      </c>
      <c r="C5" s="18" t="inlineStr">
        <is>
          <t>Unit</t>
        </is>
      </c>
      <c r="D5" s="18" t="inlineStr">
        <is>
          <t>2026 Target</t>
        </is>
      </c>
      <c r="E5" s="18" t="inlineStr">
        <is>
          <t>Status</t>
        </is>
      </c>
    </row>
    <row r="6">
      <c r="A6" s="4" t="inlineStr">
        <is>
          <t>Entrepreneurs converted to renting members</t>
        </is>
      </c>
      <c r="B6" s="4" t="inlineStr">
        <is>
          <t>Food Entrepreneurs</t>
        </is>
      </c>
      <c r="C6" s="4" t="inlineStr">
        <is>
          <t>count</t>
        </is>
      </c>
      <c r="D6" s="4" t="n">
        <v>8</v>
      </c>
      <c r="E6" s="4" t="inlineStr">
        <is>
          <t>Active</t>
        </is>
      </c>
    </row>
    <row r="7">
      <c r="A7" s="4" t="inlineStr">
        <is>
          <t>Kitchen hours rented</t>
        </is>
      </c>
      <c r="B7" s="4" t="inlineStr">
        <is>
          <t>Food Entrepreneurs</t>
        </is>
      </c>
      <c r="C7" s="4" t="inlineStr">
        <is>
          <t>hours</t>
        </is>
      </c>
      <c r="D7" s="4" t="n">
        <v>1500</v>
      </c>
      <c r="E7" s="4" t="inlineStr">
        <is>
          <t>Active</t>
        </is>
      </c>
    </row>
    <row r="8">
      <c r="A8" s="4" t="inlineStr">
        <is>
          <t>$ purchasing orders from HARVEST/UAC vendors</t>
        </is>
      </c>
      <c r="B8" s="4" t="inlineStr">
        <is>
          <t>Institution</t>
        </is>
      </c>
      <c r="C8" s="4" t="inlineStr">
        <is>
          <t>$</t>
        </is>
      </c>
      <c r="D8" s="4" t="n"/>
      <c r="E8" s="4" t="inlineStr">
        <is>
          <t>Active</t>
        </is>
      </c>
    </row>
    <row r="9">
      <c r="A9" s="4" t="inlineStr">
        <is>
          <t>HARVEST-produced items on institutional menus</t>
        </is>
      </c>
      <c r="B9" s="4" t="inlineStr">
        <is>
          <t>Institution</t>
        </is>
      </c>
      <c r="C9" s="4" t="inlineStr">
        <is>
          <t>count</t>
        </is>
      </c>
      <c r="D9" s="4" t="n"/>
      <c r="E9" s="4" t="inlineStr">
        <is>
          <t>Active</t>
        </is>
      </c>
    </row>
    <row r="10">
      <c r="A10" s="4" t="inlineStr">
        <is>
          <t>Types of produce moved</t>
        </is>
      </c>
      <c r="B10" s="4" t="inlineStr">
        <is>
          <t>Farmers</t>
        </is>
      </c>
      <c r="C10" s="4" t="inlineStr">
        <is>
          <t>count</t>
        </is>
      </c>
      <c r="D10" s="4" t="n"/>
      <c r="E10" s="4" t="inlineStr">
        <is>
          <t>Active</t>
        </is>
      </c>
    </row>
    <row r="11">
      <c r="A11" s="4" t="inlineStr">
        <is>
          <t>lbs of produce moved</t>
        </is>
      </c>
      <c r="B11" s="4" t="inlineStr">
        <is>
          <t>Farmers</t>
        </is>
      </c>
      <c r="C11" s="4" t="inlineStr">
        <is>
          <t>lbs</t>
        </is>
      </c>
      <c r="D11" s="4" t="n"/>
      <c r="E11" s="4" t="inlineStr">
        <is>
          <t>Active</t>
        </is>
      </c>
    </row>
    <row r="13" ht="28" customHeight="1">
      <c r="A13" s="17" t="inlineStr">
        <is>
          <t>Access</t>
        </is>
      </c>
    </row>
    <row r="14" ht="18" customHeight="1">
      <c r="A14" s="18" t="inlineStr">
        <is>
          <t>KPI</t>
        </is>
      </c>
      <c r="B14" s="18" t="inlineStr">
        <is>
          <t>Audience</t>
        </is>
      </c>
      <c r="C14" s="18" t="inlineStr">
        <is>
          <t>Unit</t>
        </is>
      </c>
      <c r="D14" s="18" t="inlineStr">
        <is>
          <t>2026 Target</t>
        </is>
      </c>
      <c r="E14" s="18" t="inlineStr">
        <is>
          <t>Status</t>
        </is>
      </c>
    </row>
    <row r="15">
      <c r="A15" s="4" t="inlineStr">
        <is>
          <t>Businesses buying local produce via UAC</t>
        </is>
      </c>
      <c r="B15" s="4" t="inlineStr">
        <is>
          <t>Food Entrepreneurs</t>
        </is>
      </c>
      <c r="C15" s="4" t="inlineStr">
        <is>
          <t>count</t>
        </is>
      </c>
      <c r="D15" s="4" t="n">
        <v>3</v>
      </c>
      <c r="E15" s="4" t="inlineStr">
        <is>
          <t>Active</t>
        </is>
      </c>
    </row>
    <row r="16">
      <c r="A16" s="4" t="inlineStr">
        <is>
          <t>$ purchasing orders from HARVEST/UAC vendors</t>
        </is>
      </c>
      <c r="B16" s="4" t="inlineStr">
        <is>
          <t>Institution</t>
        </is>
      </c>
      <c r="C16" s="4" t="inlineStr">
        <is>
          <t>$</t>
        </is>
      </c>
      <c r="D16" s="4" t="n"/>
      <c r="E16" s="4" t="inlineStr">
        <is>
          <t>Active</t>
        </is>
      </c>
    </row>
    <row r="17">
      <c r="A17" s="4" t="inlineStr">
        <is>
          <t>HARVEST-produced items on institutional menus</t>
        </is>
      </c>
      <c r="B17" s="4" t="inlineStr">
        <is>
          <t>Institution</t>
        </is>
      </c>
      <c r="C17" s="4" t="inlineStr">
        <is>
          <t>count</t>
        </is>
      </c>
      <c r="D17" s="4" t="n"/>
      <c r="E17" s="4" t="inlineStr">
        <is>
          <t>Active</t>
        </is>
      </c>
    </row>
    <row r="18">
      <c r="A18" s="4" t="inlineStr">
        <is>
          <t>Cross-institution connections</t>
        </is>
      </c>
      <c r="B18" s="4" t="inlineStr">
        <is>
          <t>Institution</t>
        </is>
      </c>
      <c r="C18" s="4" t="inlineStr">
        <is>
          <t>count</t>
        </is>
      </c>
      <c r="D18" s="4" t="n">
        <v>4</v>
      </c>
      <c r="E18" s="4" t="inlineStr">
        <is>
          <t>Active</t>
        </is>
      </c>
    </row>
    <row r="19">
      <c r="A19" s="4" t="inlineStr">
        <is>
          <t>Reduction in readmission costs through HARVEST</t>
        </is>
      </c>
      <c r="B19" s="4" t="inlineStr">
        <is>
          <t>Institution</t>
        </is>
      </c>
      <c r="C19" s="4" t="inlineStr">
        <is>
          <t>$</t>
        </is>
      </c>
      <c r="D19" s="4" t="n"/>
      <c r="E19" s="4" t="inlineStr">
        <is>
          <t>Planned — methodology TBD</t>
        </is>
      </c>
    </row>
    <row r="20">
      <c r="A20" s="4" t="inlineStr">
        <is>
          <t>Community orgs engaged</t>
        </is>
      </c>
      <c r="B20" s="4" t="inlineStr">
        <is>
          <t>Community Organizations</t>
        </is>
      </c>
      <c r="C20" s="4" t="inlineStr">
        <is>
          <t>count</t>
        </is>
      </c>
      <c r="D20" s="4" t="n">
        <v>15</v>
      </c>
      <c r="E20" s="4" t="inlineStr">
        <is>
          <t>Active</t>
        </is>
      </c>
    </row>
    <row r="21">
      <c r="A21" s="4" t="inlineStr">
        <is>
          <t>Orgs hosting events at HARVEST</t>
        </is>
      </c>
      <c r="B21" s="4" t="inlineStr">
        <is>
          <t>Community Organizations</t>
        </is>
      </c>
      <c r="C21" s="4" t="inlineStr">
        <is>
          <t>count</t>
        </is>
      </c>
      <c r="D21" s="4" t="n">
        <v>6</v>
      </c>
      <c r="E21" s="4" t="inlineStr">
        <is>
          <t>Active</t>
        </is>
      </c>
    </row>
    <row r="22">
      <c r="A22" s="4" t="inlineStr">
        <is>
          <t>Multilingual / cultural events</t>
        </is>
      </c>
      <c r="B22" s="4" t="inlineStr">
        <is>
          <t>Community Organizations</t>
        </is>
      </c>
      <c r="C22" s="4" t="inlineStr">
        <is>
          <t>count</t>
        </is>
      </c>
      <c r="D22" s="4" t="n">
        <v>6</v>
      </c>
      <c r="E22" s="4" t="inlineStr">
        <is>
          <t>Active</t>
        </is>
      </c>
    </row>
    <row r="23">
      <c r="A23" s="4" t="inlineStr">
        <is>
          <t>Food recovery to service providers (lbs)</t>
        </is>
      </c>
      <c r="B23" s="4" t="inlineStr">
        <is>
          <t>Community Organizations</t>
        </is>
      </c>
      <c r="C23" s="4" t="inlineStr">
        <is>
          <t>lbs</t>
        </is>
      </c>
      <c r="D23" s="4" t="n">
        <v>500</v>
      </c>
      <c r="E23" s="4" t="inlineStr">
        <is>
          <t>Active</t>
        </is>
      </c>
    </row>
    <row r="24">
      <c r="A24" s="4" t="inlineStr">
        <is>
          <t>DSPs with presence at HARVEST</t>
        </is>
      </c>
      <c r="B24" s="4" t="inlineStr">
        <is>
          <t>Community Organizations</t>
        </is>
      </c>
      <c r="C24" s="4" t="inlineStr">
        <is>
          <t>count</t>
        </is>
      </c>
      <c r="D24" s="4" t="n">
        <v>3</v>
      </c>
      <c r="E24" s="4" t="inlineStr">
        <is>
          <t>Active</t>
        </is>
      </c>
    </row>
    <row r="25">
      <c r="A25" s="4" t="inlineStr">
        <is>
          <t>$ farmer business via HARVEST</t>
        </is>
      </c>
      <c r="B25" s="4" t="inlineStr">
        <is>
          <t>Farmers</t>
        </is>
      </c>
      <c r="C25" s="4" t="inlineStr">
        <is>
          <t>$</t>
        </is>
      </c>
      <c r="D25" s="4" t="n"/>
      <c r="E25" s="4" t="inlineStr">
        <is>
          <t>Active</t>
        </is>
      </c>
    </row>
    <row r="26">
      <c r="A26" s="4" t="inlineStr">
        <is>
          <t>lbs of produce moved</t>
        </is>
      </c>
      <c r="B26" s="4" t="inlineStr">
        <is>
          <t>Farmers</t>
        </is>
      </c>
      <c r="C26" s="4" t="inlineStr">
        <is>
          <t>lbs</t>
        </is>
      </c>
      <c r="D26" s="4" t="n"/>
      <c r="E26" s="4" t="inlineStr">
        <is>
          <t>Active</t>
        </is>
      </c>
    </row>
    <row r="28" ht="28" customHeight="1">
      <c r="A28" s="17" t="inlineStr">
        <is>
          <t>Utilization</t>
        </is>
      </c>
    </row>
    <row r="29" ht="18" customHeight="1">
      <c r="A29" s="18" t="inlineStr">
        <is>
          <t>KPI</t>
        </is>
      </c>
      <c r="B29" s="18" t="inlineStr">
        <is>
          <t>Audience</t>
        </is>
      </c>
      <c r="C29" s="18" t="inlineStr">
        <is>
          <t>Unit</t>
        </is>
      </c>
      <c r="D29" s="18" t="inlineStr">
        <is>
          <t>2026 Target</t>
        </is>
      </c>
      <c r="E29" s="18" t="inlineStr">
        <is>
          <t>Status</t>
        </is>
      </c>
    </row>
    <row r="30">
      <c r="A30" s="4" t="inlineStr">
        <is>
          <t>% members achieving ServSafe</t>
        </is>
      </c>
      <c r="B30" s="4" t="inlineStr">
        <is>
          <t>Food Entrepreneurs</t>
        </is>
      </c>
      <c r="C30" s="4" t="inlineStr">
        <is>
          <t>%</t>
        </is>
      </c>
      <c r="D30" s="4" t="n">
        <v>100</v>
      </c>
      <c r="E30" s="4" t="inlineStr">
        <is>
          <t>Active</t>
        </is>
      </c>
    </row>
    <row r="31">
      <c r="A31" s="4" t="inlineStr">
        <is>
          <t>Workforce dev seminars held</t>
        </is>
      </c>
      <c r="B31" s="4" t="inlineStr">
        <is>
          <t>Food Entrepreneurs</t>
        </is>
      </c>
      <c r="C31" s="4" t="inlineStr">
        <is>
          <t>count</t>
        </is>
      </c>
      <c r="D31" s="4" t="n">
        <v>6</v>
      </c>
      <c r="E31" s="4" t="inlineStr">
        <is>
          <t>Active</t>
        </is>
      </c>
    </row>
    <row r="32">
      <c r="A32" s="4" t="inlineStr">
        <is>
          <t>Technical assistance sessions</t>
        </is>
      </c>
      <c r="B32" s="4" t="inlineStr">
        <is>
          <t>Food Entrepreneurs</t>
        </is>
      </c>
      <c r="C32" s="4" t="inlineStr">
        <is>
          <t>count</t>
        </is>
      </c>
      <c r="D32" s="4" t="n">
        <v>30</v>
      </c>
      <c r="E32" s="4" t="inlineStr">
        <is>
          <t>Active</t>
        </is>
      </c>
    </row>
    <row r="33">
      <c r="A33" s="4" t="inlineStr">
        <is>
          <t>Businesses receiving wellness coaching</t>
        </is>
      </c>
      <c r="B33" s="4" t="inlineStr">
        <is>
          <t>Food Entrepreneurs</t>
        </is>
      </c>
      <c r="C33" s="4" t="inlineStr">
        <is>
          <t>count</t>
        </is>
      </c>
      <c r="D33" s="4" t="n"/>
      <c r="E33" s="4" t="inlineStr">
        <is>
          <t>Active</t>
        </is>
      </c>
    </row>
    <row r="34">
      <c r="A34" s="4" t="inlineStr">
        <is>
          <t>TA partnerships</t>
        </is>
      </c>
      <c r="B34" s="4" t="inlineStr">
        <is>
          <t>Institution</t>
        </is>
      </c>
      <c r="C34" s="4" t="inlineStr">
        <is>
          <t>count</t>
        </is>
      </c>
      <c r="D34" s="4" t="n">
        <v>3</v>
      </c>
      <c r="E34" s="4" t="inlineStr">
        <is>
          <t>Active</t>
        </is>
      </c>
    </row>
    <row r="35">
      <c r="A35" s="4" t="inlineStr">
        <is>
          <t>Reduction in readmission costs through HARVEST</t>
        </is>
      </c>
      <c r="B35" s="4" t="inlineStr">
        <is>
          <t>Institution</t>
        </is>
      </c>
      <c r="C35" s="4" t="inlineStr">
        <is>
          <t>$</t>
        </is>
      </c>
      <c r="D35" s="4" t="n"/>
      <c r="E35" s="4" t="inlineStr">
        <is>
          <t>Planned — methodology TBD</t>
        </is>
      </c>
    </row>
    <row r="36">
      <c r="A36" s="4" t="inlineStr">
        <is>
          <t>Event participants</t>
        </is>
      </c>
      <c r="B36" s="4" t="inlineStr">
        <is>
          <t>Community Organizations</t>
        </is>
      </c>
      <c r="C36" s="4" t="inlineStr">
        <is>
          <t>count</t>
        </is>
      </c>
      <c r="D36" s="4" t="n">
        <v>300</v>
      </c>
      <c r="E36" s="4" t="inlineStr">
        <is>
          <t>Active</t>
        </is>
      </c>
    </row>
    <row r="37">
      <c r="A37" s="4" t="inlineStr">
        <is>
          <t>Event survey — satisfaction (avg)</t>
        </is>
      </c>
      <c r="B37" s="4" t="inlineStr">
        <is>
          <t>Community Organizations</t>
        </is>
      </c>
      <c r="C37" s="4" t="inlineStr">
        <is>
          <t>rating</t>
        </is>
      </c>
      <c r="D37" s="4" t="n">
        <v>4</v>
      </c>
      <c r="E37" s="4" t="inlineStr">
        <is>
          <t>Active</t>
        </is>
      </c>
    </row>
    <row r="38">
      <c r="A38" s="4" t="inlineStr">
        <is>
          <t>Event survey — learning (avg)</t>
        </is>
      </c>
      <c r="B38" s="4" t="inlineStr">
        <is>
          <t>Community Organizations</t>
        </is>
      </c>
      <c r="C38" s="4" t="inlineStr">
        <is>
          <t>rating</t>
        </is>
      </c>
      <c r="D38" s="4" t="n">
        <v>4</v>
      </c>
      <c r="E38" s="4" t="inlineStr">
        <is>
          <t>Active</t>
        </is>
      </c>
    </row>
    <row r="39">
      <c r="A39" s="4" t="inlineStr">
        <is>
          <t>Food captured for demos (lbs)</t>
        </is>
      </c>
      <c r="B39" s="4" t="inlineStr">
        <is>
          <t>Environmental Sustainability</t>
        </is>
      </c>
      <c r="C39" s="4" t="inlineStr">
        <is>
          <t>lbs</t>
        </is>
      </c>
      <c r="D39" s="4" t="n"/>
      <c r="E39" s="4" t="inlineStr">
        <is>
          <t>Active</t>
        </is>
      </c>
    </row>
    <row r="41" ht="28" customHeight="1">
      <c r="A41" s="17" t="inlineStr">
        <is>
          <t>Stability</t>
        </is>
      </c>
    </row>
    <row r="42" ht="18" customHeight="1">
      <c r="A42" s="18" t="inlineStr">
        <is>
          <t>KPI</t>
        </is>
      </c>
      <c r="B42" s="18" t="inlineStr">
        <is>
          <t>Audience</t>
        </is>
      </c>
      <c r="C42" s="18" t="inlineStr">
        <is>
          <t>Unit</t>
        </is>
      </c>
      <c r="D42" s="18" t="inlineStr">
        <is>
          <t>2026 Target</t>
        </is>
      </c>
      <c r="E42" s="18" t="inlineStr">
        <is>
          <t>Status</t>
        </is>
      </c>
    </row>
    <row r="43">
      <c r="A43" s="4" t="inlineStr">
        <is>
          <t>Avg % sales increase for members</t>
        </is>
      </c>
      <c r="B43" s="4" t="inlineStr">
        <is>
          <t>Food Entrepreneurs</t>
        </is>
      </c>
      <c r="C43" s="4" t="inlineStr">
        <is>
          <t>%</t>
        </is>
      </c>
      <c r="D43" s="4" t="n"/>
      <c r="E43" s="4" t="inlineStr">
        <is>
          <t>Active</t>
        </is>
      </c>
    </row>
    <row r="44">
      <c r="A44" s="4" t="inlineStr">
        <is>
          <t>Kitchen hours rented</t>
        </is>
      </c>
      <c r="B44" s="4" t="inlineStr">
        <is>
          <t>Food Entrepreneurs</t>
        </is>
      </c>
      <c r="C44" s="4" t="inlineStr">
        <is>
          <t>hours</t>
        </is>
      </c>
      <c r="D44" s="4" t="n">
        <v>1500</v>
      </c>
      <c r="E44" s="4" t="inlineStr">
        <is>
          <t>Active</t>
        </is>
      </c>
    </row>
    <row r="45">
      <c r="A45" s="4" t="inlineStr">
        <is>
          <t>Jobs created by member businesses</t>
        </is>
      </c>
      <c r="B45" s="4" t="inlineStr">
        <is>
          <t>Food Entrepreneurs</t>
        </is>
      </c>
      <c r="C45" s="4" t="inlineStr">
        <is>
          <t>count</t>
        </is>
      </c>
      <c r="D45" s="4" t="n"/>
      <c r="E45" s="4" t="inlineStr">
        <is>
          <t>Active</t>
        </is>
      </c>
    </row>
    <row r="46">
      <c r="A46" s="4" t="inlineStr">
        <is>
          <t>Growth of businesses by hours rented</t>
        </is>
      </c>
      <c r="B46" s="4" t="inlineStr">
        <is>
          <t>Food Entrepreneurs</t>
        </is>
      </c>
      <c r="C46" s="4" t="inlineStr">
        <is>
          <t>hours</t>
        </is>
      </c>
      <c r="D46" s="4" t="n"/>
      <c r="E46" s="4" t="inlineStr">
        <is>
          <t>Active</t>
        </is>
      </c>
    </row>
    <row r="47">
      <c r="A47" s="4" t="inlineStr">
        <is>
          <t>Cross-institution connections</t>
        </is>
      </c>
      <c r="B47" s="4" t="inlineStr">
        <is>
          <t>Institution</t>
        </is>
      </c>
      <c r="C47" s="4" t="inlineStr">
        <is>
          <t>count</t>
        </is>
      </c>
      <c r="D47" s="4" t="n">
        <v>4</v>
      </c>
      <c r="E47" s="4" t="inlineStr">
        <is>
          <t>Active</t>
        </is>
      </c>
    </row>
    <row r="48">
      <c r="A48" s="4" t="inlineStr">
        <is>
          <t>TA partnerships</t>
        </is>
      </c>
      <c r="B48" s="4" t="inlineStr">
        <is>
          <t>Institution</t>
        </is>
      </c>
      <c r="C48" s="4" t="inlineStr">
        <is>
          <t>count</t>
        </is>
      </c>
      <c r="D48" s="4" t="n">
        <v>3</v>
      </c>
      <c r="E48" s="4" t="inlineStr">
        <is>
          <t>Active</t>
        </is>
      </c>
    </row>
    <row r="49">
      <c r="A49" s="4" t="inlineStr">
        <is>
          <t>Community volunteer hours</t>
        </is>
      </c>
      <c r="B49" s="4" t="inlineStr">
        <is>
          <t>Community Organizations</t>
        </is>
      </c>
      <c r="C49" s="4" t="inlineStr">
        <is>
          <t>hours</t>
        </is>
      </c>
      <c r="D49" s="4" t="n"/>
      <c r="E49" s="4" t="inlineStr">
        <is>
          <t>Active</t>
        </is>
      </c>
    </row>
    <row r="50">
      <c r="A50" s="4" t="inlineStr">
        <is>
          <t>Sectors engaged at HARVEST</t>
        </is>
      </c>
      <c r="B50" s="4" t="inlineStr">
        <is>
          <t>Community Organizations</t>
        </is>
      </c>
      <c r="C50" s="4" t="inlineStr">
        <is>
          <t>count</t>
        </is>
      </c>
      <c r="D50" s="4" t="n">
        <v>5</v>
      </c>
      <c r="E50" s="4" t="inlineStr">
        <is>
          <t>Active</t>
        </is>
      </c>
    </row>
    <row r="51">
      <c r="A51" s="4" t="inlineStr">
        <is>
          <t>Grants and partnerships secured</t>
        </is>
      </c>
      <c r="B51" s="4" t="inlineStr">
        <is>
          <t>Investors-Funders</t>
        </is>
      </c>
      <c r="C51" s="4" t="inlineStr">
        <is>
          <t>count</t>
        </is>
      </c>
      <c r="D51" s="4" t="n">
        <v>4</v>
      </c>
      <c r="E51" s="4" t="inlineStr">
        <is>
          <t>Active</t>
        </is>
      </c>
    </row>
    <row r="52">
      <c r="A52" s="4" t="inlineStr">
        <is>
          <t>% earned revenue</t>
        </is>
      </c>
      <c r="B52" s="4" t="inlineStr">
        <is>
          <t>Investors-Funders</t>
        </is>
      </c>
      <c r="C52" s="4" t="inlineStr">
        <is>
          <t>%</t>
        </is>
      </c>
      <c r="D52" s="4" t="n"/>
      <c r="E52" s="4" t="inlineStr">
        <is>
          <t>Active</t>
        </is>
      </c>
    </row>
    <row r="53">
      <c r="A53" s="4" t="inlineStr">
        <is>
          <t>Funders and sponsors</t>
        </is>
      </c>
      <c r="B53" s="4" t="inlineStr">
        <is>
          <t>Investors-Funders</t>
        </is>
      </c>
      <c r="C53" s="4" t="inlineStr">
        <is>
          <t>count</t>
        </is>
      </c>
      <c r="D53" s="4" t="n"/>
      <c r="E53" s="4" t="inlineStr">
        <is>
          <t>Active</t>
        </is>
      </c>
    </row>
    <row r="54">
      <c r="A54" s="4" t="inlineStr">
        <is>
          <t>Leveraged capital ($)</t>
        </is>
      </c>
      <c r="B54" s="4" t="inlineStr">
        <is>
          <t>Investors-Funders</t>
        </is>
      </c>
      <c r="C54" s="4" t="inlineStr">
        <is>
          <t>$</t>
        </is>
      </c>
      <c r="D54" s="4" t="n"/>
      <c r="E54" s="4" t="inlineStr">
        <is>
          <t>Active</t>
        </is>
      </c>
    </row>
    <row r="55">
      <c r="A55" s="4" t="inlineStr">
        <is>
          <t>Social return on investment (SROI)</t>
        </is>
      </c>
      <c r="B55" s="4" t="inlineStr">
        <is>
          <t>Investors-Funders</t>
        </is>
      </c>
      <c r="C55" s="4" t="inlineStr">
        <is>
          <t>ratio</t>
        </is>
      </c>
      <c r="D55" s="4" t="n"/>
      <c r="E55" s="4" t="inlineStr">
        <is>
          <t>Planned — methodology TBD</t>
        </is>
      </c>
    </row>
    <row r="56">
      <c r="A56" s="4" t="inlineStr">
        <is>
          <t>JSC meetings held</t>
        </is>
      </c>
      <c r="B56" s="4" t="inlineStr">
        <is>
          <t>Investors-Funders</t>
        </is>
      </c>
      <c r="C56" s="4" t="inlineStr">
        <is>
          <t>count</t>
        </is>
      </c>
      <c r="D56" s="4" t="n">
        <v>10</v>
      </c>
      <c r="E56" s="4" t="inlineStr">
        <is>
          <t>Active</t>
        </is>
      </c>
    </row>
    <row r="57">
      <c r="A57" s="4" t="inlineStr">
        <is>
          <t>CAB members onboarded</t>
        </is>
      </c>
      <c r="B57" s="4" t="inlineStr">
        <is>
          <t>Investors-Funders</t>
        </is>
      </c>
      <c r="C57" s="4" t="inlineStr">
        <is>
          <t>count</t>
        </is>
      </c>
      <c r="D57" s="4" t="n">
        <v>10</v>
      </c>
      <c r="E57" s="4" t="inlineStr">
        <is>
          <t>Active</t>
        </is>
      </c>
    </row>
    <row r="58">
      <c r="A58" s="4" t="inlineStr">
        <is>
          <t>CAB meetings held</t>
        </is>
      </c>
      <c r="B58" s="4" t="inlineStr">
        <is>
          <t>Investors-Funders</t>
        </is>
      </c>
      <c r="C58" s="4" t="inlineStr">
        <is>
          <t>count</t>
        </is>
      </c>
      <c r="D58" s="4" t="n">
        <v>2</v>
      </c>
      <c r="E58" s="4" t="inlineStr">
        <is>
          <t>Active</t>
        </is>
      </c>
    </row>
    <row r="59">
      <c r="A59" s="4" t="inlineStr">
        <is>
          <t>Farms engaged</t>
        </is>
      </c>
      <c r="B59" s="4" t="inlineStr">
        <is>
          <t>Farmers</t>
        </is>
      </c>
      <c r="C59" s="4" t="inlineStr">
        <is>
          <t>count</t>
        </is>
      </c>
      <c r="D59" s="4" t="n">
        <v>4</v>
      </c>
      <c r="E59" s="4" t="inlineStr">
        <is>
          <t>Active</t>
        </is>
      </c>
    </row>
    <row r="60">
      <c r="A60" s="4" t="inlineStr">
        <is>
          <t>$ farmer business via HARVEST</t>
        </is>
      </c>
      <c r="B60" s="4" t="inlineStr">
        <is>
          <t>Farmers</t>
        </is>
      </c>
      <c r="C60" s="4" t="inlineStr">
        <is>
          <t>$</t>
        </is>
      </c>
      <c r="D60" s="4" t="n"/>
      <c r="E60" s="4" t="inlineStr">
        <is>
          <t>Active</t>
        </is>
      </c>
    </row>
    <row r="61">
      <c r="A61" s="4" t="inlineStr">
        <is>
          <t>Farmers making value-added products</t>
        </is>
      </c>
      <c r="B61" s="4" t="inlineStr">
        <is>
          <t>Farmers</t>
        </is>
      </c>
      <c r="C61" s="4" t="inlineStr">
        <is>
          <t>count</t>
        </is>
      </c>
      <c r="D61" s="4" t="n"/>
      <c r="E61" s="4" t="inlineStr">
        <is>
          <t>Active</t>
        </is>
      </c>
    </row>
    <row r="63" ht="28" customHeight="1">
      <c r="A63" s="17" t="inlineStr">
        <is>
          <t>Agency</t>
        </is>
      </c>
    </row>
    <row r="64" ht="18" customHeight="1">
      <c r="A64" s="18" t="inlineStr">
        <is>
          <t>KPI</t>
        </is>
      </c>
      <c r="B64" s="18" t="inlineStr">
        <is>
          <t>Audience</t>
        </is>
      </c>
      <c r="C64" s="18" t="inlineStr">
        <is>
          <t>Unit</t>
        </is>
      </c>
      <c r="D64" s="18" t="inlineStr">
        <is>
          <t>2026 Target</t>
        </is>
      </c>
      <c r="E64" s="18" t="inlineStr">
        <is>
          <t>Status</t>
        </is>
      </c>
    </row>
    <row r="65">
      <c r="A65" s="4" t="inlineStr">
        <is>
          <t>Entrepreneurs engaged</t>
        </is>
      </c>
      <c r="B65" s="4" t="inlineStr">
        <is>
          <t>Food Entrepreneurs</t>
        </is>
      </c>
      <c r="C65" s="4" t="inlineStr">
        <is>
          <t>count</t>
        </is>
      </c>
      <c r="D65" s="4" t="n">
        <v>40</v>
      </c>
      <c r="E65" s="4" t="inlineStr">
        <is>
          <t>Active</t>
        </is>
      </c>
    </row>
    <row r="66">
      <c r="A66" s="4" t="inlineStr">
        <is>
          <t>Entrepreneurs converted to renting members</t>
        </is>
      </c>
      <c r="B66" s="4" t="inlineStr">
        <is>
          <t>Food Entrepreneurs</t>
        </is>
      </c>
      <c r="C66" s="4" t="inlineStr">
        <is>
          <t>count</t>
        </is>
      </c>
      <c r="D66" s="4" t="n">
        <v>8</v>
      </c>
      <c r="E66" s="4" t="inlineStr">
        <is>
          <t>Active</t>
        </is>
      </c>
    </row>
    <row r="67">
      <c r="A67" s="4" t="inlineStr">
        <is>
          <t>Avg % sales increase for members</t>
        </is>
      </c>
      <c r="B67" s="4" t="inlineStr">
        <is>
          <t>Food Entrepreneurs</t>
        </is>
      </c>
      <c r="C67" s="4" t="inlineStr">
        <is>
          <t>%</t>
        </is>
      </c>
      <c r="D67" s="4" t="n"/>
      <c r="E67" s="4" t="inlineStr">
        <is>
          <t>Active</t>
        </is>
      </c>
    </row>
    <row r="68">
      <c r="A68" s="4" t="inlineStr">
        <is>
          <t>Businesses supported</t>
        </is>
      </c>
      <c r="B68" s="4" t="inlineStr">
        <is>
          <t>Food Entrepreneurs</t>
        </is>
      </c>
      <c r="C68" s="4" t="inlineStr">
        <is>
          <t>count</t>
        </is>
      </c>
      <c r="D68" s="4" t="n">
        <v>8</v>
      </c>
      <c r="E68" s="4" t="inlineStr">
        <is>
          <t>Active</t>
        </is>
      </c>
    </row>
    <row r="69">
      <c r="A69" s="4" t="inlineStr">
        <is>
          <t>Workforce dev seminars held</t>
        </is>
      </c>
      <c r="B69" s="4" t="inlineStr">
        <is>
          <t>Food Entrepreneurs</t>
        </is>
      </c>
      <c r="C69" s="4" t="inlineStr">
        <is>
          <t>count</t>
        </is>
      </c>
      <c r="D69" s="4" t="n">
        <v>6</v>
      </c>
      <c r="E69" s="4" t="inlineStr">
        <is>
          <t>Active</t>
        </is>
      </c>
    </row>
    <row r="70">
      <c r="A70" s="4" t="inlineStr">
        <is>
          <t>Jobs created by member businesses</t>
        </is>
      </c>
      <c r="B70" s="4" t="inlineStr">
        <is>
          <t>Food Entrepreneurs</t>
        </is>
      </c>
      <c r="C70" s="4" t="inlineStr">
        <is>
          <t>count</t>
        </is>
      </c>
      <c r="D70" s="4" t="n"/>
      <c r="E70" s="4" t="inlineStr">
        <is>
          <t>Active</t>
        </is>
      </c>
    </row>
    <row r="71">
      <c r="A71" s="4" t="inlineStr">
        <is>
          <t>Events showcasing local entrepreneurs</t>
        </is>
      </c>
      <c r="B71" s="4" t="inlineStr">
        <is>
          <t>Food Entrepreneurs</t>
        </is>
      </c>
      <c r="C71" s="4" t="inlineStr">
        <is>
          <t>count</t>
        </is>
      </c>
      <c r="D71" s="4" t="n">
        <v>4</v>
      </c>
      <c r="E71" s="4" t="inlineStr">
        <is>
          <t>Active</t>
        </is>
      </c>
    </row>
    <row r="72">
      <c r="A72" s="4" t="inlineStr">
        <is>
          <t>Technical assistance sessions</t>
        </is>
      </c>
      <c r="B72" s="4" t="inlineStr">
        <is>
          <t>Food Entrepreneurs</t>
        </is>
      </c>
      <c r="C72" s="4" t="inlineStr">
        <is>
          <t>count</t>
        </is>
      </c>
      <c r="D72" s="4" t="n">
        <v>30</v>
      </c>
      <c r="E72" s="4" t="inlineStr">
        <is>
          <t>Active</t>
        </is>
      </c>
    </row>
    <row r="73">
      <c r="A73" s="4" t="inlineStr">
        <is>
          <t>Community orgs engaged</t>
        </is>
      </c>
      <c r="B73" s="4" t="inlineStr">
        <is>
          <t>Community Organizations</t>
        </is>
      </c>
      <c r="C73" s="4" t="inlineStr">
        <is>
          <t>count</t>
        </is>
      </c>
      <c r="D73" s="4" t="n">
        <v>15</v>
      </c>
      <c r="E73" s="4" t="inlineStr">
        <is>
          <t>Active</t>
        </is>
      </c>
    </row>
    <row r="74">
      <c r="A74" s="4" t="inlineStr">
        <is>
          <t>Event participants</t>
        </is>
      </c>
      <c r="B74" s="4" t="inlineStr">
        <is>
          <t>Community Organizations</t>
        </is>
      </c>
      <c r="C74" s="4" t="inlineStr">
        <is>
          <t>count</t>
        </is>
      </c>
      <c r="D74" s="4" t="n">
        <v>300</v>
      </c>
      <c r="E74" s="4" t="inlineStr">
        <is>
          <t>Active</t>
        </is>
      </c>
    </row>
    <row r="75">
      <c r="A75" s="4" t="inlineStr">
        <is>
          <t>Community volunteer hours</t>
        </is>
      </c>
      <c r="B75" s="4" t="inlineStr">
        <is>
          <t>Community Organizations</t>
        </is>
      </c>
      <c r="C75" s="4" t="inlineStr">
        <is>
          <t>hours</t>
        </is>
      </c>
      <c r="D75" s="4" t="n"/>
      <c r="E75" s="4" t="inlineStr">
        <is>
          <t>Active</t>
        </is>
      </c>
    </row>
    <row r="76">
      <c r="A76" s="4" t="inlineStr">
        <is>
          <t>Community events run by staff</t>
        </is>
      </c>
      <c r="B76" s="4" t="inlineStr">
        <is>
          <t>Community Organizations</t>
        </is>
      </c>
      <c r="C76" s="4" t="inlineStr">
        <is>
          <t>count</t>
        </is>
      </c>
      <c r="D76" s="4" t="n">
        <v>24</v>
      </c>
      <c r="E76" s="4" t="inlineStr">
        <is>
          <t>Active</t>
        </is>
      </c>
    </row>
    <row r="77">
      <c r="A77" s="4" t="inlineStr">
        <is>
          <t>Tours given</t>
        </is>
      </c>
      <c r="B77" s="4" t="inlineStr">
        <is>
          <t>Community Organizations</t>
        </is>
      </c>
      <c r="C77" s="4" t="inlineStr">
        <is>
          <t>count</t>
        </is>
      </c>
      <c r="D77" s="4" t="n">
        <v>24</v>
      </c>
      <c r="E77" s="4" t="inlineStr">
        <is>
          <t>Active</t>
        </is>
      </c>
    </row>
    <row r="78">
      <c r="A78" s="4" t="inlineStr">
        <is>
          <t>Orgs hosting events at HARVEST</t>
        </is>
      </c>
      <c r="B78" s="4" t="inlineStr">
        <is>
          <t>Community Organizations</t>
        </is>
      </c>
      <c r="C78" s="4" t="inlineStr">
        <is>
          <t>count</t>
        </is>
      </c>
      <c r="D78" s="4" t="n">
        <v>6</v>
      </c>
      <c r="E78" s="4" t="inlineStr">
        <is>
          <t>Active</t>
        </is>
      </c>
    </row>
    <row r="79">
      <c r="A79" s="4" t="inlineStr">
        <is>
          <t>Multilingual / cultural events</t>
        </is>
      </c>
      <c r="B79" s="4" t="inlineStr">
        <is>
          <t>Community Organizations</t>
        </is>
      </c>
      <c r="C79" s="4" t="inlineStr">
        <is>
          <t>count</t>
        </is>
      </c>
      <c r="D79" s="4" t="n">
        <v>6</v>
      </c>
      <c r="E79" s="4" t="inlineStr">
        <is>
          <t>Active</t>
        </is>
      </c>
    </row>
    <row r="80">
      <c r="A80" s="4" t="inlineStr">
        <is>
          <t>CAB members onboarded</t>
        </is>
      </c>
      <c r="B80" s="4" t="inlineStr">
        <is>
          <t>Investors-Funders</t>
        </is>
      </c>
      <c r="C80" s="4" t="inlineStr">
        <is>
          <t>count</t>
        </is>
      </c>
      <c r="D80" s="4" t="n">
        <v>10</v>
      </c>
      <c r="E80" s="4" t="inlineStr">
        <is>
          <t>Active</t>
        </is>
      </c>
    </row>
    <row r="81">
      <c r="A81" s="4" t="inlineStr">
        <is>
          <t>CAB meetings held</t>
        </is>
      </c>
      <c r="B81" s="4" t="inlineStr">
        <is>
          <t>Investors-Funders</t>
        </is>
      </c>
      <c r="C81" s="4" t="inlineStr">
        <is>
          <t>count</t>
        </is>
      </c>
      <c r="D81" s="4" t="n">
        <v>2</v>
      </c>
      <c r="E81" s="4" t="inlineStr">
        <is>
          <t>Active</t>
        </is>
      </c>
    </row>
    <row r="82">
      <c r="A82" s="4" t="inlineStr">
        <is>
          <t>Director community presentations</t>
        </is>
      </c>
      <c r="B82" s="4" t="inlineStr">
        <is>
          <t>Investors-Funders</t>
        </is>
      </c>
      <c r="C82" s="4" t="inlineStr">
        <is>
          <t>count</t>
        </is>
      </c>
      <c r="D82" s="4" t="n">
        <v>4</v>
      </c>
      <c r="E82" s="4" t="inlineStr">
        <is>
          <t>Active</t>
        </is>
      </c>
    </row>
    <row r="83">
      <c r="A83" s="4" t="inlineStr">
        <is>
          <t>Farms engaged</t>
        </is>
      </c>
      <c r="B83" s="4" t="inlineStr">
        <is>
          <t>Farmers</t>
        </is>
      </c>
      <c r="C83" s="4" t="inlineStr">
        <is>
          <t>count</t>
        </is>
      </c>
      <c r="D83" s="4" t="n">
        <v>4</v>
      </c>
      <c r="E83" s="4" t="inlineStr">
        <is>
          <t>Active</t>
        </is>
      </c>
    </row>
    <row r="84">
      <c r="A84" s="4" t="inlineStr">
        <is>
          <t>Farmers making value-added products</t>
        </is>
      </c>
      <c r="B84" s="4" t="inlineStr">
        <is>
          <t>Farmers</t>
        </is>
      </c>
      <c r="C84" s="4" t="inlineStr">
        <is>
          <t>count</t>
        </is>
      </c>
      <c r="D84" s="4" t="n"/>
      <c r="E84" s="4" t="inlineStr">
        <is>
          <t>Active</t>
        </is>
      </c>
    </row>
    <row r="86" ht="28" customHeight="1">
      <c r="A86" s="17" t="inlineStr">
        <is>
          <t>Sustainability</t>
        </is>
      </c>
    </row>
    <row r="87" ht="18" customHeight="1">
      <c r="A87" s="18" t="inlineStr">
        <is>
          <t>KPI</t>
        </is>
      </c>
      <c r="B87" s="18" t="inlineStr">
        <is>
          <t>Audience</t>
        </is>
      </c>
      <c r="C87" s="18" t="inlineStr">
        <is>
          <t>Unit</t>
        </is>
      </c>
      <c r="D87" s="18" t="inlineStr">
        <is>
          <t>2026 Target</t>
        </is>
      </c>
      <c r="E87" s="18" t="inlineStr">
        <is>
          <t>Status</t>
        </is>
      </c>
    </row>
    <row r="88">
      <c r="A88" s="4" t="inlineStr">
        <is>
          <t>Businesses buying local produce via UAC</t>
        </is>
      </c>
      <c r="B88" s="4" t="inlineStr">
        <is>
          <t>Food Entrepreneurs</t>
        </is>
      </c>
      <c r="C88" s="4" t="inlineStr">
        <is>
          <t>count</t>
        </is>
      </c>
      <c r="D88" s="4" t="n">
        <v>3</v>
      </c>
      <c r="E88" s="4" t="inlineStr">
        <is>
          <t>Active</t>
        </is>
      </c>
    </row>
    <row r="89">
      <c r="A89" s="4" t="inlineStr">
        <is>
          <t>Food recovery to service providers (lbs)</t>
        </is>
      </c>
      <c r="B89" s="4" t="inlineStr">
        <is>
          <t>Community Organizations</t>
        </is>
      </c>
      <c r="C89" s="4" t="inlineStr">
        <is>
          <t>lbs</t>
        </is>
      </c>
      <c r="D89" s="4" t="n">
        <v>500</v>
      </c>
      <c r="E89" s="4" t="inlineStr">
        <is>
          <t>Active</t>
        </is>
      </c>
    </row>
    <row r="90">
      <c r="A90" s="4" t="inlineStr">
        <is>
          <t>% earned revenue</t>
        </is>
      </c>
      <c r="B90" s="4" t="inlineStr">
        <is>
          <t>Investors-Funders</t>
        </is>
      </c>
      <c r="C90" s="4" t="inlineStr">
        <is>
          <t>%</t>
        </is>
      </c>
      <c r="D90" s="4" t="n"/>
      <c r="E90" s="4" t="inlineStr">
        <is>
          <t>Active</t>
        </is>
      </c>
    </row>
    <row r="91">
      <c r="A91" s="4" t="inlineStr">
        <is>
          <t>Leveraged capital ($)</t>
        </is>
      </c>
      <c r="B91" s="4" t="inlineStr">
        <is>
          <t>Investors-Funders</t>
        </is>
      </c>
      <c r="C91" s="4" t="inlineStr">
        <is>
          <t>$</t>
        </is>
      </c>
      <c r="D91" s="4" t="n"/>
      <c r="E91" s="4" t="inlineStr">
        <is>
          <t>Active</t>
        </is>
      </c>
    </row>
    <row r="92">
      <c r="A92" s="4" t="inlineStr">
        <is>
          <t>Social return on investment (SROI)</t>
        </is>
      </c>
      <c r="B92" s="4" t="inlineStr">
        <is>
          <t>Investors-Funders</t>
        </is>
      </c>
      <c r="C92" s="4" t="inlineStr">
        <is>
          <t>ratio</t>
        </is>
      </c>
      <c r="D92" s="4" t="n"/>
      <c r="E92" s="4" t="inlineStr">
        <is>
          <t>Planned — methodology TBD</t>
        </is>
      </c>
    </row>
    <row r="93">
      <c r="A93" s="4" t="inlineStr">
        <is>
          <t>Food waste diversion (lbs)</t>
        </is>
      </c>
      <c r="B93" s="4" t="inlineStr">
        <is>
          <t>Environmental Sustainability</t>
        </is>
      </c>
      <c r="C93" s="4" t="inlineStr">
        <is>
          <t>lbs</t>
        </is>
      </c>
      <c r="D93" s="4" t="n">
        <v>1000</v>
      </c>
      <c r="E93" s="4" t="inlineStr">
        <is>
          <t>Active</t>
        </is>
      </c>
    </row>
    <row r="94">
      <c r="A94" s="4" t="inlineStr">
        <is>
          <t>Composted (lbs)</t>
        </is>
      </c>
      <c r="B94" s="4" t="inlineStr">
        <is>
          <t>Environmental Sustainability</t>
        </is>
      </c>
      <c r="C94" s="4" t="inlineStr">
        <is>
          <t>lbs</t>
        </is>
      </c>
      <c r="D94" s="4" t="n"/>
      <c r="E94" s="4" t="inlineStr">
        <is>
          <t>Active</t>
        </is>
      </c>
    </row>
    <row r="95">
      <c r="A95" s="4" t="inlineStr">
        <is>
          <t>Local food miles (avg)</t>
        </is>
      </c>
      <c r="B95" s="4" t="inlineStr">
        <is>
          <t>Environmental Sustainability</t>
        </is>
      </c>
      <c r="C95" s="4" t="inlineStr">
        <is>
          <t>miles</t>
        </is>
      </c>
      <c r="D95" s="4" t="n"/>
      <c r="E95" s="4" t="inlineStr">
        <is>
          <t>Active</t>
        </is>
      </c>
    </row>
    <row r="96">
      <c r="A96" s="4" t="inlineStr">
        <is>
          <t>Food captured for demos (lbs)</t>
        </is>
      </c>
      <c r="B96" s="4" t="inlineStr">
        <is>
          <t>Environmental Sustainability</t>
        </is>
      </c>
      <c r="C96" s="4" t="inlineStr">
        <is>
          <t>lbs</t>
        </is>
      </c>
      <c r="D96" s="4" t="n"/>
      <c r="E96" s="4" t="inlineStr">
        <is>
          <t>Active</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2:E2"/>
    <mergeCell ref="A86:E86"/>
    <mergeCell ref="A28:E28"/>
    <mergeCell ref="A41:E41"/>
    <mergeCell ref="A63:E63"/>
    <mergeCell ref="A1:E1"/>
    <mergeCell ref="A13:E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8"/>
  <sheetViews>
    <sheetView showGridLines="0" workbookViewId="0">
      <pane ySplit="3" topLeftCell="A4" activePane="bottomLeft" state="frozen"/>
      <selection pane="bottomLeft" activeCell="A1" sqref="A1"/>
    </sheetView>
  </sheetViews>
  <sheetFormatPr baseColWidth="8" defaultRowHeight="15"/>
  <cols>
    <col width="42" customWidth="1" min="1" max="1"/>
    <col width="8" customWidth="1" min="2" max="2"/>
    <col width="14" customWidth="1" min="3" max="3"/>
    <col width="12" customWidth="1" min="4" max="4"/>
    <col width="28" customWidth="1" min="5" max="5"/>
  </cols>
  <sheetData>
    <row r="1" ht="36" customHeight="1">
      <c r="A1" s="6" t="inlineStr">
        <is>
          <t>HARVEST — By Audience</t>
        </is>
      </c>
    </row>
    <row r="2" ht="22" customHeight="1">
      <c r="A2" s="7" t="inlineStr">
        <is>
          <t>Every KPI grouped by audience category. Filter / screenshot a single section for audience-specific reports.</t>
        </is>
      </c>
    </row>
    <row r="4" ht="28" customHeight="1">
      <c r="A4" s="17" t="inlineStr">
        <is>
          <t>Food Entrepreneurs</t>
        </is>
      </c>
    </row>
    <row r="5" ht="18" customHeight="1">
      <c r="A5" s="18" t="inlineStr">
        <is>
          <t>KPI</t>
        </is>
      </c>
      <c r="B5" s="18" t="inlineStr">
        <is>
          <t>Unit</t>
        </is>
      </c>
      <c r="C5" s="18" t="inlineStr">
        <is>
          <t>Cadence</t>
        </is>
      </c>
      <c r="D5" s="18" t="inlineStr">
        <is>
          <t>2026 Target</t>
        </is>
      </c>
      <c r="E5" s="18" t="inlineStr">
        <is>
          <t>Owner</t>
        </is>
      </c>
    </row>
    <row r="6">
      <c r="A6" s="4" t="inlineStr">
        <is>
          <t>Entrepreneurs engaged</t>
        </is>
      </c>
      <c r="B6" s="4" t="inlineStr">
        <is>
          <t>count</t>
        </is>
      </c>
      <c r="C6" s="4" t="inlineStr">
        <is>
          <t>Monthly</t>
        </is>
      </c>
      <c r="D6" s="4" t="n">
        <v>40</v>
      </c>
      <c r="E6" s="4" t="inlineStr">
        <is>
          <t>Community Outreach Specialist</t>
        </is>
      </c>
    </row>
    <row r="7">
      <c r="A7" s="4" t="inlineStr">
        <is>
          <t>Entrepreneurs converted to renting members</t>
        </is>
      </c>
      <c r="B7" s="4" t="inlineStr">
        <is>
          <t>count</t>
        </is>
      </c>
      <c r="C7" s="4" t="inlineStr">
        <is>
          <t>Monthly</t>
        </is>
      </c>
      <c r="D7" s="4" t="n">
        <v>8</v>
      </c>
      <c r="E7" s="4" t="inlineStr">
        <is>
          <t>Logistics Manager</t>
        </is>
      </c>
    </row>
    <row r="8">
      <c r="A8" s="4" t="inlineStr">
        <is>
          <t>% members achieving ServSafe</t>
        </is>
      </c>
      <c r="B8" s="4" t="inlineStr">
        <is>
          <t>%</t>
        </is>
      </c>
      <c r="C8" s="4" t="inlineStr">
        <is>
          <t>Per training</t>
        </is>
      </c>
      <c r="D8" s="4" t="n">
        <v>100</v>
      </c>
      <c r="E8" s="4" t="inlineStr">
        <is>
          <t>Culinary Manager</t>
        </is>
      </c>
    </row>
    <row r="9">
      <c r="A9" s="4" t="inlineStr">
        <is>
          <t>Avg % sales increase for members</t>
        </is>
      </c>
      <c r="B9" s="4" t="inlineStr">
        <is>
          <t>%</t>
        </is>
      </c>
      <c r="C9" s="4" t="inlineStr">
        <is>
          <t>Quarterly</t>
        </is>
      </c>
      <c r="D9" s="4" t="n"/>
      <c r="E9" s="4" t="inlineStr">
        <is>
          <t>Director</t>
        </is>
      </c>
    </row>
    <row r="10">
      <c r="A10" s="4" t="inlineStr">
        <is>
          <t>Businesses supported</t>
        </is>
      </c>
      <c r="B10" s="4" t="inlineStr">
        <is>
          <t>count</t>
        </is>
      </c>
      <c r="C10" s="4" t="inlineStr">
        <is>
          <t>Monthly</t>
        </is>
      </c>
      <c r="D10" s="4" t="n">
        <v>8</v>
      </c>
      <c r="E10" s="4" t="inlineStr">
        <is>
          <t>Director</t>
        </is>
      </c>
    </row>
    <row r="11">
      <c r="A11" s="4" t="inlineStr">
        <is>
          <t>Workforce dev seminars held</t>
        </is>
      </c>
      <c r="B11" s="4" t="inlineStr">
        <is>
          <t>count</t>
        </is>
      </c>
      <c r="C11" s="4" t="inlineStr">
        <is>
          <t>Per event</t>
        </is>
      </c>
      <c r="D11" s="4" t="n">
        <v>6</v>
      </c>
      <c r="E11" s="4" t="inlineStr">
        <is>
          <t>Culinary Manager</t>
        </is>
      </c>
    </row>
    <row r="12">
      <c r="A12" s="4" t="inlineStr">
        <is>
          <t>Kitchen hours rented</t>
        </is>
      </c>
      <c r="B12" s="4" t="inlineStr">
        <is>
          <t>hours</t>
        </is>
      </c>
      <c r="C12" s="4" t="inlineStr">
        <is>
          <t>Real-time</t>
        </is>
      </c>
      <c r="D12" s="4" t="n">
        <v>1500</v>
      </c>
      <c r="E12" s="4" t="inlineStr">
        <is>
          <t>Logistics Manager</t>
        </is>
      </c>
    </row>
    <row r="13">
      <c r="A13" s="4" t="inlineStr">
        <is>
          <t>Jobs created by member businesses</t>
        </is>
      </c>
      <c r="B13" s="4" t="inlineStr">
        <is>
          <t>count</t>
        </is>
      </c>
      <c r="C13" s="4" t="inlineStr">
        <is>
          <t>Quarterly</t>
        </is>
      </c>
      <c r="D13" s="4" t="n"/>
      <c r="E13" s="4" t="inlineStr">
        <is>
          <t>Director</t>
        </is>
      </c>
    </row>
    <row r="14">
      <c r="A14" s="4" t="inlineStr">
        <is>
          <t>Growth of businesses by hours rented</t>
        </is>
      </c>
      <c r="B14" s="4" t="inlineStr">
        <is>
          <t>hours</t>
        </is>
      </c>
      <c r="C14" s="4" t="inlineStr">
        <is>
          <t>Quarterly</t>
        </is>
      </c>
      <c r="D14" s="4" t="n"/>
      <c r="E14" s="4" t="inlineStr">
        <is>
          <t>Director</t>
        </is>
      </c>
    </row>
    <row r="15">
      <c r="A15" s="4" t="inlineStr">
        <is>
          <t>Businesses buying local produce via UAC</t>
        </is>
      </c>
      <c r="B15" s="4" t="inlineStr">
        <is>
          <t>count</t>
        </is>
      </c>
      <c r="C15" s="4" t="inlineStr">
        <is>
          <t>Monthly</t>
        </is>
      </c>
      <c r="D15" s="4" t="n">
        <v>3</v>
      </c>
      <c r="E15" s="4" t="inlineStr">
        <is>
          <t>UAC Partner</t>
        </is>
      </c>
    </row>
    <row r="16">
      <c r="A16" s="4" t="inlineStr">
        <is>
          <t>Events showcasing local entrepreneurs</t>
        </is>
      </c>
      <c r="B16" s="4" t="inlineStr">
        <is>
          <t>count</t>
        </is>
      </c>
      <c r="C16" s="4" t="inlineStr">
        <is>
          <t>Per event</t>
        </is>
      </c>
      <c r="D16" s="4" t="n">
        <v>4</v>
      </c>
      <c r="E16" s="4" t="inlineStr">
        <is>
          <t>Community Outreach Specialist</t>
        </is>
      </c>
    </row>
    <row r="17">
      <c r="A17" s="4" t="inlineStr">
        <is>
          <t>Technical assistance sessions</t>
        </is>
      </c>
      <c r="B17" s="4" t="inlineStr">
        <is>
          <t>count</t>
        </is>
      </c>
      <c r="C17" s="4" t="inlineStr">
        <is>
          <t>Per session</t>
        </is>
      </c>
      <c r="D17" s="4" t="n">
        <v>30</v>
      </c>
      <c r="E17" s="4" t="inlineStr">
        <is>
          <t>Culinary Manager</t>
        </is>
      </c>
    </row>
    <row r="18">
      <c r="A18" s="4" t="inlineStr">
        <is>
          <t>Businesses receiving wellness coaching</t>
        </is>
      </c>
      <c r="B18" s="4" t="inlineStr">
        <is>
          <t>count</t>
        </is>
      </c>
      <c r="C18" s="4" t="inlineStr">
        <is>
          <t>Per session</t>
        </is>
      </c>
      <c r="D18" s="4" t="n"/>
      <c r="E18" s="4" t="inlineStr">
        <is>
          <t>Community Outreach Specialist</t>
        </is>
      </c>
    </row>
    <row r="20" ht="28" customHeight="1">
      <c r="A20" s="17" t="inlineStr">
        <is>
          <t>Institution</t>
        </is>
      </c>
    </row>
    <row r="21" ht="18" customHeight="1">
      <c r="A21" s="18" t="inlineStr">
        <is>
          <t>KPI</t>
        </is>
      </c>
      <c r="B21" s="18" t="inlineStr">
        <is>
          <t>Unit</t>
        </is>
      </c>
      <c r="C21" s="18" t="inlineStr">
        <is>
          <t>Cadence</t>
        </is>
      </c>
      <c r="D21" s="18" t="inlineStr">
        <is>
          <t>2026 Target</t>
        </is>
      </c>
      <c r="E21" s="18" t="inlineStr">
        <is>
          <t>Owner</t>
        </is>
      </c>
    </row>
    <row r="22">
      <c r="A22" s="4" t="inlineStr">
        <is>
          <t>$ purchasing orders from HARVEST/UAC vendors</t>
        </is>
      </c>
      <c r="B22" s="4" t="inlineStr">
        <is>
          <t>$</t>
        </is>
      </c>
      <c r="C22" s="4" t="inlineStr">
        <is>
          <t>Monthly</t>
        </is>
      </c>
      <c r="D22" s="4" t="n"/>
      <c r="E22" s="4" t="inlineStr">
        <is>
          <t>Director</t>
        </is>
      </c>
    </row>
    <row r="23">
      <c r="A23" s="4" t="inlineStr">
        <is>
          <t>HARVEST-produced items on institutional menus</t>
        </is>
      </c>
      <c r="B23" s="4" t="inlineStr">
        <is>
          <t>count</t>
        </is>
      </c>
      <c r="C23" s="4" t="inlineStr">
        <is>
          <t>Quarterly</t>
        </is>
      </c>
      <c r="D23" s="4" t="n"/>
      <c r="E23" s="4" t="inlineStr">
        <is>
          <t>Director</t>
        </is>
      </c>
    </row>
    <row r="24">
      <c r="A24" s="4" t="inlineStr">
        <is>
          <t>Cross-institution connections</t>
        </is>
      </c>
      <c r="B24" s="4" t="inlineStr">
        <is>
          <t>count</t>
        </is>
      </c>
      <c r="C24" s="4" t="inlineStr">
        <is>
          <t>Quarterly</t>
        </is>
      </c>
      <c r="D24" s="4" t="n">
        <v>4</v>
      </c>
      <c r="E24" s="4" t="inlineStr">
        <is>
          <t>Director</t>
        </is>
      </c>
    </row>
    <row r="25">
      <c r="A25" s="4" t="inlineStr">
        <is>
          <t>TA partnerships</t>
        </is>
      </c>
      <c r="B25" s="4" t="inlineStr">
        <is>
          <t>count</t>
        </is>
      </c>
      <c r="C25" s="4" t="inlineStr">
        <is>
          <t>Quarterly</t>
        </is>
      </c>
      <c r="D25" s="4" t="n">
        <v>3</v>
      </c>
      <c r="E25" s="4" t="inlineStr">
        <is>
          <t>Director</t>
        </is>
      </c>
    </row>
    <row r="26">
      <c r="A26" s="4" t="inlineStr">
        <is>
          <t>Reduction in readmission costs through HARVEST</t>
        </is>
      </c>
      <c r="B26" s="4" t="inlineStr">
        <is>
          <t>$</t>
        </is>
      </c>
      <c r="C26" s="4" t="inlineStr">
        <is>
          <t>Annual</t>
        </is>
      </c>
      <c r="D26" s="4" t="n"/>
      <c r="E26" s="4" t="inlineStr">
        <is>
          <t>Director</t>
        </is>
      </c>
    </row>
    <row r="28" ht="28" customHeight="1">
      <c r="A28" s="17" t="inlineStr">
        <is>
          <t>Community Organizations</t>
        </is>
      </c>
    </row>
    <row r="29" ht="18" customHeight="1">
      <c r="A29" s="18" t="inlineStr">
        <is>
          <t>KPI</t>
        </is>
      </c>
      <c r="B29" s="18" t="inlineStr">
        <is>
          <t>Unit</t>
        </is>
      </c>
      <c r="C29" s="18" t="inlineStr">
        <is>
          <t>Cadence</t>
        </is>
      </c>
      <c r="D29" s="18" t="inlineStr">
        <is>
          <t>2026 Target</t>
        </is>
      </c>
      <c r="E29" s="18" t="inlineStr">
        <is>
          <t>Owner</t>
        </is>
      </c>
    </row>
    <row r="30">
      <c r="A30" s="4" t="inlineStr">
        <is>
          <t>Community orgs engaged</t>
        </is>
      </c>
      <c r="B30" s="4" t="inlineStr">
        <is>
          <t>count</t>
        </is>
      </c>
      <c r="C30" s="4" t="inlineStr">
        <is>
          <t>Monthly</t>
        </is>
      </c>
      <c r="D30" s="4" t="n">
        <v>15</v>
      </c>
      <c r="E30" s="4" t="inlineStr">
        <is>
          <t>Community Outreach Specialist</t>
        </is>
      </c>
    </row>
    <row r="31">
      <c r="A31" s="4" t="inlineStr">
        <is>
          <t>Event participants</t>
        </is>
      </c>
      <c r="B31" s="4" t="inlineStr">
        <is>
          <t>count</t>
        </is>
      </c>
      <c r="C31" s="4" t="inlineStr">
        <is>
          <t>Per event</t>
        </is>
      </c>
      <c r="D31" s="4" t="n">
        <v>300</v>
      </c>
      <c r="E31" s="4" t="inlineStr">
        <is>
          <t>Community Outreach Specialist</t>
        </is>
      </c>
    </row>
    <row r="32">
      <c r="A32" s="4" t="inlineStr">
        <is>
          <t>Community volunteer hours</t>
        </is>
      </c>
      <c r="B32" s="4" t="inlineStr">
        <is>
          <t>hours</t>
        </is>
      </c>
      <c r="C32" s="4" t="inlineStr">
        <is>
          <t>Per event</t>
        </is>
      </c>
      <c r="D32" s="4" t="n"/>
      <c r="E32" s="4" t="inlineStr">
        <is>
          <t>Community Outreach Specialist</t>
        </is>
      </c>
    </row>
    <row r="33">
      <c r="A33" s="4" t="inlineStr">
        <is>
          <t>Community events run by staff</t>
        </is>
      </c>
      <c r="B33" s="4" t="inlineStr">
        <is>
          <t>count</t>
        </is>
      </c>
      <c r="C33" s="4" t="inlineStr">
        <is>
          <t>Per event</t>
        </is>
      </c>
      <c r="D33" s="4" t="n">
        <v>24</v>
      </c>
      <c r="E33" s="4" t="inlineStr">
        <is>
          <t>Community Outreach Specialist</t>
        </is>
      </c>
    </row>
    <row r="34">
      <c r="A34" s="4" t="inlineStr">
        <is>
          <t>Event survey — satisfaction (avg)</t>
        </is>
      </c>
      <c r="B34" s="4" t="inlineStr">
        <is>
          <t>rating</t>
        </is>
      </c>
      <c r="C34" s="4" t="inlineStr">
        <is>
          <t>Per event</t>
        </is>
      </c>
      <c r="D34" s="4" t="n">
        <v>4</v>
      </c>
      <c r="E34" s="4" t="inlineStr">
        <is>
          <t>Community Outreach Specialist</t>
        </is>
      </c>
    </row>
    <row r="35">
      <c r="A35" s="4" t="inlineStr">
        <is>
          <t>Event survey — learning (avg)</t>
        </is>
      </c>
      <c r="B35" s="4" t="inlineStr">
        <is>
          <t>rating</t>
        </is>
      </c>
      <c r="C35" s="4" t="inlineStr">
        <is>
          <t>Per event</t>
        </is>
      </c>
      <c r="D35" s="4" t="n">
        <v>4</v>
      </c>
      <c r="E35" s="4" t="inlineStr">
        <is>
          <t>Community Outreach Specialist</t>
        </is>
      </c>
    </row>
    <row r="36">
      <c r="A36" s="4" t="inlineStr">
        <is>
          <t>Tours given</t>
        </is>
      </c>
      <c r="B36" s="4" t="inlineStr">
        <is>
          <t>count</t>
        </is>
      </c>
      <c r="C36" s="4" t="inlineStr">
        <is>
          <t>Per event</t>
        </is>
      </c>
      <c r="D36" s="4" t="n">
        <v>24</v>
      </c>
      <c r="E36" s="4" t="inlineStr">
        <is>
          <t>Community Outreach Specialist</t>
        </is>
      </c>
    </row>
    <row r="37">
      <c r="A37" s="4" t="inlineStr">
        <is>
          <t>Orgs hosting events at HARVEST</t>
        </is>
      </c>
      <c r="B37" s="4" t="inlineStr">
        <is>
          <t>count</t>
        </is>
      </c>
      <c r="C37" s="4" t="inlineStr">
        <is>
          <t>Per event</t>
        </is>
      </c>
      <c r="D37" s="4" t="n">
        <v>6</v>
      </c>
      <c r="E37" s="4" t="inlineStr">
        <is>
          <t>Community Outreach Specialist</t>
        </is>
      </c>
    </row>
    <row r="38">
      <c r="A38" s="4" t="inlineStr">
        <is>
          <t>Sectors engaged at HARVEST</t>
        </is>
      </c>
      <c r="B38" s="4" t="inlineStr">
        <is>
          <t>count</t>
        </is>
      </c>
      <c r="C38" s="4" t="inlineStr">
        <is>
          <t>Quarterly</t>
        </is>
      </c>
      <c r="D38" s="4" t="n">
        <v>5</v>
      </c>
      <c r="E38" s="4" t="inlineStr">
        <is>
          <t>Director</t>
        </is>
      </c>
    </row>
    <row r="39">
      <c r="A39" s="4" t="inlineStr">
        <is>
          <t>Multilingual / cultural events</t>
        </is>
      </c>
      <c r="B39" s="4" t="inlineStr">
        <is>
          <t>count</t>
        </is>
      </c>
      <c r="C39" s="4" t="inlineStr">
        <is>
          <t>Per event</t>
        </is>
      </c>
      <c r="D39" s="4" t="n">
        <v>6</v>
      </c>
      <c r="E39" s="4" t="inlineStr">
        <is>
          <t>Community Outreach Specialist</t>
        </is>
      </c>
    </row>
    <row r="40">
      <c r="A40" s="4" t="inlineStr">
        <is>
          <t>Food recovery to service providers (lbs)</t>
        </is>
      </c>
      <c r="B40" s="4" t="inlineStr">
        <is>
          <t>lbs</t>
        </is>
      </c>
      <c r="C40" s="4" t="inlineStr">
        <is>
          <t>Per event</t>
        </is>
      </c>
      <c r="D40" s="4" t="n">
        <v>500</v>
      </c>
      <c r="E40" s="4" t="inlineStr">
        <is>
          <t>Community Outreach Specialist</t>
        </is>
      </c>
    </row>
    <row r="41">
      <c r="A41" s="4" t="inlineStr">
        <is>
          <t>DSPs with presence at HARVEST</t>
        </is>
      </c>
      <c r="B41" s="4" t="inlineStr">
        <is>
          <t>count</t>
        </is>
      </c>
      <c r="C41" s="4" t="inlineStr">
        <is>
          <t>Quarterly</t>
        </is>
      </c>
      <c r="D41" s="4" t="n">
        <v>3</v>
      </c>
      <c r="E41" s="4" t="inlineStr">
        <is>
          <t>Community Outreach Specialist</t>
        </is>
      </c>
    </row>
    <row r="43" ht="28" customHeight="1">
      <c r="A43" s="17" t="inlineStr">
        <is>
          <t>Investors-Funders</t>
        </is>
      </c>
    </row>
    <row r="44" ht="18" customHeight="1">
      <c r="A44" s="18" t="inlineStr">
        <is>
          <t>KPI</t>
        </is>
      </c>
      <c r="B44" s="18" t="inlineStr">
        <is>
          <t>Unit</t>
        </is>
      </c>
      <c r="C44" s="18" t="inlineStr">
        <is>
          <t>Cadence</t>
        </is>
      </c>
      <c r="D44" s="18" t="inlineStr">
        <is>
          <t>2026 Target</t>
        </is>
      </c>
      <c r="E44" s="18" t="inlineStr">
        <is>
          <t>Owner</t>
        </is>
      </c>
    </row>
    <row r="45">
      <c r="A45" s="4" t="inlineStr">
        <is>
          <t>Grants and partnerships secured</t>
        </is>
      </c>
      <c r="B45" s="4" t="inlineStr">
        <is>
          <t>count</t>
        </is>
      </c>
      <c r="C45" s="4" t="inlineStr">
        <is>
          <t>Per event</t>
        </is>
      </c>
      <c r="D45" s="4" t="n">
        <v>4</v>
      </c>
      <c r="E45" s="4" t="inlineStr">
        <is>
          <t>Director</t>
        </is>
      </c>
    </row>
    <row r="46">
      <c r="A46" s="4" t="inlineStr">
        <is>
          <t>% earned revenue</t>
        </is>
      </c>
      <c r="B46" s="4" t="inlineStr">
        <is>
          <t>%</t>
        </is>
      </c>
      <c r="C46" s="4" t="inlineStr">
        <is>
          <t>Quarterly</t>
        </is>
      </c>
      <c r="D46" s="4" t="n"/>
      <c r="E46" s="4" t="inlineStr">
        <is>
          <t>Director</t>
        </is>
      </c>
    </row>
    <row r="47">
      <c r="A47" s="4" t="inlineStr">
        <is>
          <t>Funders and sponsors</t>
        </is>
      </c>
      <c r="B47" s="4" t="inlineStr">
        <is>
          <t>count</t>
        </is>
      </c>
      <c r="C47" s="4" t="inlineStr">
        <is>
          <t>Quarterly</t>
        </is>
      </c>
      <c r="D47" s="4" t="n"/>
      <c r="E47" s="4" t="inlineStr">
        <is>
          <t>Director</t>
        </is>
      </c>
    </row>
    <row r="48">
      <c r="A48" s="4" t="inlineStr">
        <is>
          <t>Leveraged capital ($)</t>
        </is>
      </c>
      <c r="B48" s="4" t="inlineStr">
        <is>
          <t>$</t>
        </is>
      </c>
      <c r="C48" s="4" t="inlineStr">
        <is>
          <t>Quarterly</t>
        </is>
      </c>
      <c r="D48" s="4" t="n"/>
      <c r="E48" s="4" t="inlineStr">
        <is>
          <t>Director</t>
        </is>
      </c>
    </row>
    <row r="49">
      <c r="A49" s="4" t="inlineStr">
        <is>
          <t>Social return on investment (SROI)</t>
        </is>
      </c>
      <c r="B49" s="4" t="inlineStr">
        <is>
          <t>ratio</t>
        </is>
      </c>
      <c r="C49" s="4" t="inlineStr">
        <is>
          <t>Annual</t>
        </is>
      </c>
      <c r="D49" s="4" t="n"/>
      <c r="E49" s="4" t="inlineStr">
        <is>
          <t>Director</t>
        </is>
      </c>
    </row>
    <row r="50">
      <c r="A50" s="4" t="inlineStr">
        <is>
          <t>JSC meetings held</t>
        </is>
      </c>
      <c r="B50" s="4" t="inlineStr">
        <is>
          <t>count</t>
        </is>
      </c>
      <c r="C50" s="4" t="inlineStr">
        <is>
          <t>Per event</t>
        </is>
      </c>
      <c r="D50" s="4" t="n">
        <v>10</v>
      </c>
      <c r="E50" s="4" t="inlineStr">
        <is>
          <t>Director</t>
        </is>
      </c>
    </row>
    <row r="51">
      <c r="A51" s="4" t="inlineStr">
        <is>
          <t>CAB members onboarded</t>
        </is>
      </c>
      <c r="B51" s="4" t="inlineStr">
        <is>
          <t>count</t>
        </is>
      </c>
      <c r="C51" s="4" t="inlineStr">
        <is>
          <t>Per event</t>
        </is>
      </c>
      <c r="D51" s="4" t="n">
        <v>10</v>
      </c>
      <c r="E51" s="4" t="inlineStr">
        <is>
          <t>Director</t>
        </is>
      </c>
    </row>
    <row r="52">
      <c r="A52" s="4" t="inlineStr">
        <is>
          <t>CAB meetings held</t>
        </is>
      </c>
      <c r="B52" s="4" t="inlineStr">
        <is>
          <t>count</t>
        </is>
      </c>
      <c r="C52" s="4" t="inlineStr">
        <is>
          <t>Per event</t>
        </is>
      </c>
      <c r="D52" s="4" t="n">
        <v>2</v>
      </c>
      <c r="E52" s="4" t="inlineStr">
        <is>
          <t>Director</t>
        </is>
      </c>
    </row>
    <row r="53">
      <c r="A53" s="4" t="inlineStr">
        <is>
          <t>Director community presentations</t>
        </is>
      </c>
      <c r="B53" s="4" t="inlineStr">
        <is>
          <t>count</t>
        </is>
      </c>
      <c r="C53" s="4" t="inlineStr">
        <is>
          <t>Per event</t>
        </is>
      </c>
      <c r="D53" s="4" t="n">
        <v>4</v>
      </c>
      <c r="E53" s="4" t="inlineStr">
        <is>
          <t>Director</t>
        </is>
      </c>
    </row>
    <row r="55" ht="28" customHeight="1">
      <c r="A55" s="17" t="inlineStr">
        <is>
          <t>Farmers</t>
        </is>
      </c>
    </row>
    <row r="56" ht="18" customHeight="1">
      <c r="A56" s="18" t="inlineStr">
        <is>
          <t>KPI</t>
        </is>
      </c>
      <c r="B56" s="18" t="inlineStr">
        <is>
          <t>Unit</t>
        </is>
      </c>
      <c r="C56" s="18" t="inlineStr">
        <is>
          <t>Cadence</t>
        </is>
      </c>
      <c r="D56" s="18" t="inlineStr">
        <is>
          <t>2026 Target</t>
        </is>
      </c>
      <c r="E56" s="18" t="inlineStr">
        <is>
          <t>Owner</t>
        </is>
      </c>
    </row>
    <row r="57">
      <c r="A57" s="4" t="inlineStr">
        <is>
          <t>Farms engaged</t>
        </is>
      </c>
      <c r="B57" s="4" t="inlineStr">
        <is>
          <t>count</t>
        </is>
      </c>
      <c r="C57" s="4" t="inlineStr">
        <is>
          <t>Monthly</t>
        </is>
      </c>
      <c r="D57" s="4" t="n">
        <v>4</v>
      </c>
      <c r="E57" s="4" t="inlineStr">
        <is>
          <t>UAC Partner</t>
        </is>
      </c>
    </row>
    <row r="58">
      <c r="A58" s="4" t="inlineStr">
        <is>
          <t>$ farmer business via HARVEST</t>
        </is>
      </c>
      <c r="B58" s="4" t="inlineStr">
        <is>
          <t>$</t>
        </is>
      </c>
      <c r="C58" s="4" t="inlineStr">
        <is>
          <t>Monthly</t>
        </is>
      </c>
      <c r="D58" s="4" t="n"/>
      <c r="E58" s="4" t="inlineStr">
        <is>
          <t>UAC Partner</t>
        </is>
      </c>
    </row>
    <row r="59">
      <c r="A59" s="4" t="inlineStr">
        <is>
          <t>Types of produce moved</t>
        </is>
      </c>
      <c r="B59" s="4" t="inlineStr">
        <is>
          <t>count</t>
        </is>
      </c>
      <c r="C59" s="4" t="inlineStr">
        <is>
          <t>Monthly</t>
        </is>
      </c>
      <c r="D59" s="4" t="n"/>
      <c r="E59" s="4" t="inlineStr">
        <is>
          <t>UAC Partner</t>
        </is>
      </c>
    </row>
    <row r="60">
      <c r="A60" s="4" t="inlineStr">
        <is>
          <t>lbs of produce moved</t>
        </is>
      </c>
      <c r="B60" s="4" t="inlineStr">
        <is>
          <t>lbs</t>
        </is>
      </c>
      <c r="C60" s="4" t="inlineStr">
        <is>
          <t>Monthly</t>
        </is>
      </c>
      <c r="D60" s="4" t="n"/>
      <c r="E60" s="4" t="inlineStr">
        <is>
          <t>UAC Partner</t>
        </is>
      </c>
    </row>
    <row r="61">
      <c r="A61" s="4" t="inlineStr">
        <is>
          <t>Farmers making value-added products</t>
        </is>
      </c>
      <c r="B61" s="4" t="inlineStr">
        <is>
          <t>count</t>
        </is>
      </c>
      <c r="C61" s="4" t="inlineStr">
        <is>
          <t>Monthly</t>
        </is>
      </c>
      <c r="D61" s="4" t="n"/>
      <c r="E61" s="4" t="inlineStr">
        <is>
          <t>UAC Partner</t>
        </is>
      </c>
    </row>
    <row r="63" ht="28" customHeight="1">
      <c r="A63" s="17" t="inlineStr">
        <is>
          <t>Environmental Sustainability</t>
        </is>
      </c>
    </row>
    <row r="64" ht="18" customHeight="1">
      <c r="A64" s="18" t="inlineStr">
        <is>
          <t>KPI</t>
        </is>
      </c>
      <c r="B64" s="18" t="inlineStr">
        <is>
          <t>Unit</t>
        </is>
      </c>
      <c r="C64" s="18" t="inlineStr">
        <is>
          <t>Cadence</t>
        </is>
      </c>
      <c r="D64" s="18" t="inlineStr">
        <is>
          <t>2026 Target</t>
        </is>
      </c>
      <c r="E64" s="18" t="inlineStr">
        <is>
          <t>Owner</t>
        </is>
      </c>
    </row>
    <row r="65">
      <c r="A65" s="4" t="inlineStr">
        <is>
          <t>Food waste diversion (lbs)</t>
        </is>
      </c>
      <c r="B65" s="4" t="inlineStr">
        <is>
          <t>lbs</t>
        </is>
      </c>
      <c r="C65" s="4" t="inlineStr">
        <is>
          <t>Monthly</t>
        </is>
      </c>
      <c r="D65" s="4" t="n">
        <v>1000</v>
      </c>
      <c r="E65" s="4" t="inlineStr">
        <is>
          <t>Logistics Manager</t>
        </is>
      </c>
    </row>
    <row r="66">
      <c r="A66" s="4" t="inlineStr">
        <is>
          <t>Composted (lbs)</t>
        </is>
      </c>
      <c r="B66" s="4" t="inlineStr">
        <is>
          <t>lbs</t>
        </is>
      </c>
      <c r="C66" s="4" t="inlineStr">
        <is>
          <t>Monthly</t>
        </is>
      </c>
      <c r="D66" s="4" t="n"/>
      <c r="E66" s="4" t="inlineStr">
        <is>
          <t>Logistics Manager</t>
        </is>
      </c>
    </row>
    <row r="67">
      <c r="A67" s="4" t="inlineStr">
        <is>
          <t>Local food miles (avg)</t>
        </is>
      </c>
      <c r="B67" s="4" t="inlineStr">
        <is>
          <t>miles</t>
        </is>
      </c>
      <c r="C67" s="4" t="inlineStr">
        <is>
          <t>Quarterly</t>
        </is>
      </c>
      <c r="D67" s="4" t="n"/>
      <c r="E67" s="4" t="inlineStr">
        <is>
          <t>UAC Partner</t>
        </is>
      </c>
    </row>
    <row r="68">
      <c r="A68" s="4" t="inlineStr">
        <is>
          <t>Food captured for demos (lbs)</t>
        </is>
      </c>
      <c r="B68" s="4" t="inlineStr">
        <is>
          <t>lbs</t>
        </is>
      </c>
      <c r="C68" s="4" t="inlineStr">
        <is>
          <t>Per event</t>
        </is>
      </c>
      <c r="D68" s="4" t="n"/>
      <c r="E68" s="4" t="inlineStr">
        <is>
          <t>Culinary Manager</t>
        </is>
      </c>
    </row>
  </sheetData>
  <sheetProtection selectLockedCells="0" selectUnlockedCells="0" sheet="1" objects="0" insertRows="1" insertHyperlinks="1" autoFilter="1" scenarios="0" formatColumns="1" deleteColumns="1" insertColumns="1" pivotTables="1" deleteRows="1" formatCells="1" formatRows="1" sort="1"/>
  <mergeCells count="8">
    <mergeCell ref="A55:E55"/>
    <mergeCell ref="A4:E4"/>
    <mergeCell ref="A20:E20"/>
    <mergeCell ref="A43:E43"/>
    <mergeCell ref="A2:E2"/>
    <mergeCell ref="A28:E28"/>
    <mergeCell ref="A63:E63"/>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pane ySplit="16" topLeftCell="A17" activePane="bottomLeft" state="frozen"/>
      <selection pane="bottomLeft" activeCell="A1" sqref="A1"/>
    </sheetView>
  </sheetViews>
  <sheetFormatPr baseColWidth="8" defaultRowHeight="15"/>
  <cols>
    <col width="16" customWidth="1" min="1" max="1"/>
    <col width="32" customWidth="1" min="2" max="2"/>
    <col width="12" customWidth="1" min="3" max="3"/>
  </cols>
  <sheetData>
    <row r="1" ht="36" customHeight="1">
      <c r="A1" s="6" t="inlineStr">
        <is>
          <t>Food Corridor — CSV Import</t>
        </is>
      </c>
    </row>
    <row r="2">
      <c r="A2" s="8" t="inlineStr">
        <is>
          <t>How to refresh kitchen rental data:</t>
        </is>
      </c>
    </row>
    <row r="3">
      <c r="A3" s="8" t="inlineStr">
        <is>
          <t xml:space="preserve">  1. In Food Corridor, go to Reports → Bookings → Export to CSV.</t>
        </is>
      </c>
    </row>
    <row r="4">
      <c r="A4" s="8" t="inlineStr">
        <is>
          <t xml:space="preserve">  2. Save the file as 'food_corridor.csv' to the same folder as this workbook.</t>
        </is>
      </c>
    </row>
    <row r="5">
      <c r="A5" s="8" t="inlineStr">
        <is>
          <t xml:space="preserve">  3. In Excel, click Data → Refresh All.</t>
        </is>
      </c>
    </row>
    <row r="6">
      <c r="A6" s="8" t="inlineStr">
        <is>
          <t xml:space="preserve">  4. The 'Kitchen hours rented' KPI on the Executive Summary updates automatically.</t>
        </is>
      </c>
    </row>
    <row r="7">
      <c r="A7" s="8" t="inlineStr"/>
    </row>
    <row r="8">
      <c r="A8" s="2" t="inlineStr">
        <is>
          <t>v1 schema is minimal — only Booking Date, Member Business, and Hours.</t>
        </is>
      </c>
    </row>
    <row r="9">
      <c r="A9" s="2" t="inlineStr">
        <is>
          <t>When Anthony shares a real Food Corridor export, expand this table to include the</t>
        </is>
      </c>
    </row>
    <row r="10">
      <c r="A10" s="8" t="inlineStr">
        <is>
          <t>additional columns (rate, total, kitchen/zone, status, etc.) and update the Power Query</t>
        </is>
      </c>
    </row>
    <row r="11">
      <c r="A11" s="8" t="inlineStr">
        <is>
          <t>in docs/data_dictionary.md.</t>
        </is>
      </c>
    </row>
    <row r="12">
      <c r="A12" s="8" t="inlineStr"/>
    </row>
    <row r="13">
      <c r="A13" s="8" t="inlineStr">
        <is>
          <t>If Power Query is not yet wired up, you can paste rows directly below the headers.</t>
        </is>
      </c>
    </row>
    <row r="16" ht="32" customHeight="1">
      <c r="A16" s="5" t="inlineStr">
        <is>
          <t>Booking_Date</t>
        </is>
      </c>
      <c r="B16" s="5" t="inlineStr">
        <is>
          <t>Member_Business</t>
        </is>
      </c>
      <c r="C16" s="5" t="inlineStr">
        <is>
          <t>Hours</t>
        </is>
      </c>
    </row>
    <row r="17">
      <c r="A17" s="19" t="n">
        <v>46093</v>
      </c>
      <c r="B17" s="20" t="inlineStr">
        <is>
          <t>Newark Eats LLC</t>
        </is>
      </c>
      <c r="C17" s="20" t="n">
        <v>6</v>
      </c>
    </row>
    <row r="18">
      <c r="A18" s="19" t="n">
        <v>46095</v>
      </c>
      <c r="B18" s="20" t="inlineStr">
        <is>
          <t>Casa Sabor</t>
        </is>
      </c>
      <c r="C18" s="20" t="n">
        <v>4</v>
      </c>
    </row>
    <row r="19">
      <c r="A19" s="19" t="n">
        <v>46100</v>
      </c>
      <c r="B19" s="20" t="inlineStr">
        <is>
          <t>Newark Eats LLC</t>
        </is>
      </c>
      <c r="C19" s="20" t="n">
        <v>8</v>
      </c>
    </row>
    <row r="20">
      <c r="A20" s="19" t="n">
        <v>46107</v>
      </c>
      <c r="B20" s="20" t="inlineStr">
        <is>
          <t>Casa Sabor</t>
        </is>
      </c>
      <c r="C20" s="20" t="n">
        <v>5</v>
      </c>
    </row>
    <row r="21">
      <c r="A21" s="19" t="n">
        <v>46114</v>
      </c>
      <c r="B21" s="20" t="inlineStr">
        <is>
          <t>Newark Eats LLC</t>
        </is>
      </c>
      <c r="C21" s="20" t="n">
        <v>6</v>
      </c>
    </row>
    <row r="22">
      <c r="A22" s="19" t="n">
        <v>46121</v>
      </c>
      <c r="B22" s="20" t="inlineStr">
        <is>
          <t>Casa Sabor</t>
        </is>
      </c>
      <c r="C22" s="20" t="n">
        <v>4</v>
      </c>
    </row>
    <row r="23">
      <c r="A23" s="19" t="n">
        <v>46128</v>
      </c>
      <c r="B23" s="20" t="inlineStr">
        <is>
          <t>Newark Eats LLC</t>
        </is>
      </c>
      <c r="C23" s="20" t="n">
        <v>6</v>
      </c>
    </row>
  </sheetData>
  <mergeCells count="13">
    <mergeCell ref="A2:F2"/>
    <mergeCell ref="A11:F11"/>
    <mergeCell ref="A10:F10"/>
    <mergeCell ref="A13:F13"/>
    <mergeCell ref="A1:F1"/>
    <mergeCell ref="A5:F5"/>
    <mergeCell ref="A9:F9"/>
    <mergeCell ref="A8:F8"/>
    <mergeCell ref="A6:F6"/>
    <mergeCell ref="A12:F12"/>
    <mergeCell ref="A4:F4"/>
    <mergeCell ref="A3:F3"/>
    <mergeCell ref="A7:F7"/>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Y8"/>
  <sheetViews>
    <sheetView showGridLines="0" workbookViewId="0">
      <pane ySplit="3" topLeftCell="A4" activePane="bottomLeft" state="frozen"/>
      <selection pane="bottomLeft" activeCell="A1" sqref="A1"/>
    </sheetView>
  </sheetViews>
  <sheetFormatPr baseColWidth="8" defaultRowHeight="15"/>
  <cols>
    <col width="12" customWidth="1" min="1" max="1"/>
    <col width="32" customWidth="1" min="2" max="2"/>
    <col width="22" customWidth="1" min="3" max="3"/>
    <col width="14" customWidth="1" min="4" max="4"/>
    <col width="16" customWidth="1" min="5" max="5"/>
    <col width="16" customWidth="1" min="6" max="6"/>
    <col width="24" customWidth="1" min="7" max="7"/>
    <col width="18" customWidth="1" min="8" max="8"/>
    <col width="18" customWidth="1" min="9" max="9"/>
    <col width="14" customWidth="1" min="10" max="10"/>
    <col width="24" customWidth="1" min="11" max="11"/>
    <col width="14" customWidth="1" min="12" max="12"/>
    <col width="12" customWidth="1" min="13" max="13"/>
    <col width="12" customWidth="1" min="14" max="14"/>
    <col width="10" customWidth="1" min="15" max="15"/>
    <col width="10" customWidth="1" min="16" max="16"/>
    <col width="14" customWidth="1" min="17" max="17"/>
    <col width="12" customWidth="1" min="18" max="18"/>
    <col width="10" customWidth="1" min="19" max="19"/>
    <col width="12" customWidth="1" min="20" max="20"/>
    <col width="24" customWidth="1" min="21" max="21"/>
    <col width="12" customWidth="1" min="22" max="22"/>
    <col width="12" customWidth="1" min="23" max="23"/>
    <col width="12" customWidth="1" min="24" max="24"/>
    <col width="36" customWidth="1" min="25" max="25"/>
  </cols>
  <sheetData>
    <row r="1" ht="32" customHeight="1">
      <c r="A1" s="21" t="inlineStr">
        <is>
          <t>Back-end data tab. Populated by Power Query from the corresponding SharePoint List. Sample rows seeded so dashboards render before Power Query is wired up. Replace via Data → Get Data → Blank Query → paste M code from docs/data_dictionary.md.</t>
        </is>
      </c>
    </row>
    <row r="3" ht="32" customHeight="1">
      <c r="A3" s="5" t="inlineStr">
        <is>
          <t>Submission_ID</t>
        </is>
      </c>
      <c r="B3" s="5" t="inlineStr">
        <is>
          <t>Title</t>
        </is>
      </c>
      <c r="C3" s="5" t="inlineStr">
        <is>
          <t>Submitted_By</t>
        </is>
      </c>
      <c r="D3" s="5" t="inlineStr">
        <is>
          <t>Submitted_Date</t>
        </is>
      </c>
      <c r="E3" s="5" t="inlineStr">
        <is>
          <t>Reporting_Period_Start</t>
        </is>
      </c>
      <c r="F3" s="5" t="inlineStr">
        <is>
          <t>Reporting_Period_End</t>
        </is>
      </c>
      <c r="G3" s="5" t="inlineStr">
        <is>
          <t>OFSA_Dimension</t>
        </is>
      </c>
      <c r="H3" s="5" t="inlineStr">
        <is>
          <t>Food_System_Sector</t>
        </is>
      </c>
      <c r="I3" s="5" t="inlineStr">
        <is>
          <t>Partner_Sector</t>
        </is>
      </c>
      <c r="J3" s="5" t="inlineStr">
        <is>
          <t>Lead_Role</t>
        </is>
      </c>
      <c r="K3" s="5" t="inlineStr">
        <is>
          <t>Business_Name</t>
        </is>
      </c>
      <c r="L3" s="5" t="inlineStr">
        <is>
          <t>Stage</t>
        </is>
      </c>
      <c r="M3" s="5" t="inlineStr">
        <is>
          <t>Date_Engaged</t>
        </is>
      </c>
      <c r="N3" s="5" t="inlineStr">
        <is>
          <t>Date_Converted</t>
        </is>
      </c>
      <c r="O3" s="5" t="inlineStr">
        <is>
          <t>Jobs_Created_FTE</t>
        </is>
      </c>
      <c r="P3" s="5" t="inlineStr">
        <is>
          <t>Jobs_Created_PTE</t>
        </is>
      </c>
      <c r="Q3" s="5" t="inlineStr">
        <is>
          <t>Sales_Period_$</t>
        </is>
      </c>
      <c r="R3" s="5" t="inlineStr">
        <is>
          <t>Sales_YoY_Change_%</t>
        </is>
      </c>
      <c r="S3" s="5" t="inlineStr">
        <is>
          <t>Sources_Local_Produce</t>
        </is>
      </c>
      <c r="T3" s="5" t="inlineStr">
        <is>
          <t>Wellness_Coaching_Sessions</t>
        </is>
      </c>
      <c r="U3" s="5" t="inlineStr">
        <is>
          <t>Demographic_Tags</t>
        </is>
      </c>
      <c r="V3" s="5" t="inlineStr">
        <is>
          <t>New_Members</t>
        </is>
      </c>
      <c r="W3" s="5" t="inlineStr">
        <is>
          <t>ServSafe_Passed</t>
        </is>
      </c>
      <c r="X3" s="5" t="inlineStr">
        <is>
          <t>ServSafe_Attempted</t>
        </is>
      </c>
      <c r="Y3" s="5" t="inlineStr">
        <is>
          <t>Notes</t>
        </is>
      </c>
    </row>
    <row r="4">
      <c r="A4" s="4" t="n">
        <v>1</v>
      </c>
      <c r="B4" s="4" t="inlineStr">
        <is>
          <t>Newark Eats LLC — onboarding</t>
        </is>
      </c>
      <c r="C4" s="4" t="inlineStr">
        <is>
          <t>L. Reyes (Logistics)</t>
        </is>
      </c>
      <c r="D4" s="22" t="n">
        <v>46096</v>
      </c>
      <c r="E4" s="22" t="n">
        <v>46082</v>
      </c>
      <c r="F4" s="22" t="n">
        <v>46112</v>
      </c>
      <c r="G4" s="4" t="inlineStr">
        <is>
          <t>Agency; Availability</t>
        </is>
      </c>
      <c r="H4" s="4" t="inlineStr">
        <is>
          <t>Processing</t>
        </is>
      </c>
      <c r="I4" s="4" t="inlineStr">
        <is>
          <t>Food Enterprise</t>
        </is>
      </c>
      <c r="J4" s="4" t="inlineStr">
        <is>
          <t>HARVEST Lead</t>
        </is>
      </c>
      <c r="K4" s="4" t="inlineStr">
        <is>
          <t>Newark Eats LLC</t>
        </is>
      </c>
      <c r="L4" s="4" t="inlineStr">
        <is>
          <t>Onboarding</t>
        </is>
      </c>
      <c r="M4" s="22" t="n">
        <v>46091</v>
      </c>
      <c r="N4" s="22" t="n">
        <v>46095</v>
      </c>
      <c r="O4" s="4" t="n">
        <v>1</v>
      </c>
      <c r="P4" s="4" t="n">
        <v>2</v>
      </c>
      <c r="Q4" s="23" t="n">
        <v>4800</v>
      </c>
      <c r="R4" s="4" t="n"/>
      <c r="S4" s="4" t="b">
        <v>1</v>
      </c>
      <c r="T4" s="4" t="n">
        <v>0</v>
      </c>
      <c r="U4" s="4" t="inlineStr">
        <is>
          <t>Woman-owned; BIPOC-owned</t>
        </is>
      </c>
      <c r="V4" s="4" t="n">
        <v>1</v>
      </c>
      <c r="W4" s="4" t="n">
        <v>0</v>
      </c>
      <c r="X4" s="4" t="n">
        <v>0</v>
      </c>
      <c r="Y4" s="4" t="inlineStr">
        <is>
          <t>First member of founding cohort.</t>
        </is>
      </c>
    </row>
    <row r="5">
      <c r="A5" s="4" t="n">
        <v>2</v>
      </c>
      <c r="B5" s="4" t="inlineStr">
        <is>
          <t>Casa Sabor — onboarding</t>
        </is>
      </c>
      <c r="C5" s="4" t="inlineStr">
        <is>
          <t>L. Reyes (Logistics)</t>
        </is>
      </c>
      <c r="D5" s="22" t="n">
        <v>46103</v>
      </c>
      <c r="E5" s="22" t="n">
        <v>46082</v>
      </c>
      <c r="F5" s="22" t="n">
        <v>46112</v>
      </c>
      <c r="G5" s="4" t="inlineStr">
        <is>
          <t>Agency</t>
        </is>
      </c>
      <c r="H5" s="4" t="inlineStr">
        <is>
          <t>Processing</t>
        </is>
      </c>
      <c r="I5" s="4" t="inlineStr">
        <is>
          <t>Food Enterprise</t>
        </is>
      </c>
      <c r="J5" s="4" t="inlineStr">
        <is>
          <t>HARVEST Lead</t>
        </is>
      </c>
      <c r="K5" s="4" t="inlineStr">
        <is>
          <t>Casa Sabor</t>
        </is>
      </c>
      <c r="L5" s="4" t="inlineStr">
        <is>
          <t>Onboarding</t>
        </is>
      </c>
      <c r="M5" s="22" t="n">
        <v>46099</v>
      </c>
      <c r="N5" s="22" t="n">
        <v>46102</v>
      </c>
      <c r="O5" s="4" t="n">
        <v>0</v>
      </c>
      <c r="P5" s="4" t="n">
        <v>1</v>
      </c>
      <c r="Q5" s="23" t="n">
        <v>2400</v>
      </c>
      <c r="R5" s="4" t="n"/>
      <c r="S5" s="4" t="b">
        <v>1</v>
      </c>
      <c r="T5" s="4" t="n">
        <v>0</v>
      </c>
      <c r="U5" s="4" t="inlineStr">
        <is>
          <t>Immigrant-owned; First-time entrepreneur</t>
        </is>
      </c>
      <c r="V5" s="4" t="n">
        <v>1</v>
      </c>
      <c r="W5" s="4" t="n">
        <v>0</v>
      </c>
      <c r="X5" s="4" t="n">
        <v>0</v>
      </c>
      <c r="Y5" s="4" t="inlineStr">
        <is>
          <t>Multilingual onboarding.</t>
        </is>
      </c>
    </row>
    <row r="6">
      <c r="A6" s="4" t="n">
        <v>3</v>
      </c>
      <c r="B6" s="4" t="inlineStr">
        <is>
          <t>Q1 operational snapshot</t>
        </is>
      </c>
      <c r="C6" s="4" t="inlineStr">
        <is>
          <t>L. Reyes (Logistics)</t>
        </is>
      </c>
      <c r="D6" s="22" t="n">
        <v>46112</v>
      </c>
      <c r="E6" s="22" t="n">
        <v>46023</v>
      </c>
      <c r="F6" s="22" t="n">
        <v>46112</v>
      </c>
      <c r="G6" s="4" t="inlineStr">
        <is>
          <t>Availability; Stability</t>
        </is>
      </c>
      <c r="H6" s="4" t="inlineStr">
        <is>
          <t>Processing</t>
        </is>
      </c>
      <c r="I6" s="4" t="inlineStr">
        <is>
          <t>Food Enterprise</t>
        </is>
      </c>
      <c r="J6" s="4" t="inlineStr">
        <is>
          <t>HARVEST Lead</t>
        </is>
      </c>
      <c r="K6" s="4" t="n"/>
      <c r="L6" s="4" t="inlineStr">
        <is>
          <t>Operational Snapshot</t>
        </is>
      </c>
      <c r="M6" s="4" t="n"/>
      <c r="N6" s="4" t="n"/>
      <c r="O6" s="4" t="n"/>
      <c r="P6" s="4" t="n"/>
      <c r="Q6" s="4" t="n"/>
      <c r="R6" s="4" t="n"/>
      <c r="S6" s="4" t="n"/>
      <c r="T6" s="4" t="n"/>
      <c r="U6" s="4" t="n"/>
      <c r="V6" s="4" t="n">
        <v>0</v>
      </c>
      <c r="W6" s="4" t="n">
        <v>0</v>
      </c>
      <c r="X6" s="4" t="n">
        <v>0</v>
      </c>
      <c r="Y6" s="4" t="inlineStr">
        <is>
          <t>First quarter open — 2 founding cohort members.</t>
        </is>
      </c>
    </row>
    <row r="7">
      <c r="A7" s="4" t="n">
        <v>4</v>
      </c>
      <c r="B7" s="4" t="inlineStr">
        <is>
          <t>ServSafe — April cohort</t>
        </is>
      </c>
      <c r="C7" s="4" t="inlineStr">
        <is>
          <t>M. Chen (Culinary)</t>
        </is>
      </c>
      <c r="D7" s="22" t="n">
        <v>46124</v>
      </c>
      <c r="E7" s="22" t="n">
        <v>46124</v>
      </c>
      <c r="F7" s="22" t="n">
        <v>46124</v>
      </c>
      <c r="G7" s="4" t="inlineStr">
        <is>
          <t>Utilization</t>
        </is>
      </c>
      <c r="H7" s="4" t="inlineStr">
        <is>
          <t>Processing</t>
        </is>
      </c>
      <c r="I7" s="4" t="inlineStr">
        <is>
          <t>Education</t>
        </is>
      </c>
      <c r="J7" s="4" t="inlineStr">
        <is>
          <t>HARVEST Lead</t>
        </is>
      </c>
      <c r="K7" s="4" t="n"/>
      <c r="L7" s="4" t="inlineStr">
        <is>
          <t>Operational Snapshot</t>
        </is>
      </c>
      <c r="M7" s="4" t="n"/>
      <c r="N7" s="4" t="n"/>
      <c r="O7" s="4" t="n"/>
      <c r="P7" s="4" t="n"/>
      <c r="Q7" s="4" t="n"/>
      <c r="R7" s="4" t="n"/>
      <c r="S7" s="4" t="n"/>
      <c r="T7" s="4" t="n"/>
      <c r="U7" s="4" t="n"/>
      <c r="V7" s="4" t="n">
        <v>0</v>
      </c>
      <c r="W7" s="4" t="n">
        <v>2</v>
      </c>
      <c r="X7" s="4" t="n">
        <v>2</v>
      </c>
      <c r="Y7" s="4" t="inlineStr">
        <is>
          <t>ServSafe Food Handler — 2 of 2 passed.</t>
        </is>
      </c>
    </row>
    <row r="8">
      <c r="A8" s="4" t="n">
        <v>5</v>
      </c>
      <c r="B8" s="4" t="inlineStr">
        <is>
          <t>Spring TA cohort</t>
        </is>
      </c>
      <c r="C8" s="4" t="inlineStr">
        <is>
          <t>M. Chen (Culinary)</t>
        </is>
      </c>
      <c r="D8" s="22" t="n">
        <v>46122</v>
      </c>
      <c r="E8" s="22" t="n">
        <v>46113</v>
      </c>
      <c r="F8" s="22" t="n">
        <v>46142</v>
      </c>
      <c r="G8" s="4" t="inlineStr">
        <is>
          <t>Utilization; Agency</t>
        </is>
      </c>
      <c r="H8" s="4" t="inlineStr">
        <is>
          <t>Processing</t>
        </is>
      </c>
      <c r="I8" s="4" t="inlineStr">
        <is>
          <t>Food Enterprise</t>
        </is>
      </c>
      <c r="J8" s="4" t="inlineStr">
        <is>
          <t>HARVEST Lead</t>
        </is>
      </c>
      <c r="K8" s="4" t="inlineStr">
        <is>
          <t>Newark Eats LLC</t>
        </is>
      </c>
      <c r="L8" s="4" t="inlineStr">
        <is>
          <t>Active Member</t>
        </is>
      </c>
      <c r="M8" s="4" t="n"/>
      <c r="N8" s="4" t="n"/>
      <c r="O8" s="4" t="n"/>
      <c r="P8" s="4" t="n"/>
      <c r="Q8" s="4" t="n"/>
      <c r="R8" s="4" t="n"/>
      <c r="S8" s="4" t="n"/>
      <c r="T8" s="4" t="n">
        <v>1</v>
      </c>
      <c r="U8" s="4" t="n"/>
      <c r="V8" s="4" t="n">
        <v>0</v>
      </c>
      <c r="W8" s="4" t="n">
        <v>0</v>
      </c>
      <c r="X8" s="4" t="n">
        <v>0</v>
      </c>
      <c r="Y8" s="4" t="inlineStr">
        <is>
          <t>1:1 marketing TA.</t>
        </is>
      </c>
    </row>
  </sheetData>
  <mergeCells count="1">
    <mergeCell ref="A1:Y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S5"/>
  <sheetViews>
    <sheetView showGridLines="0" workbookViewId="0">
      <pane ySplit="3" topLeftCell="A4" activePane="bottomLeft" state="frozen"/>
      <selection pane="bottomLeft" activeCell="A1" sqref="A1"/>
    </sheetView>
  </sheetViews>
  <sheetFormatPr baseColWidth="8" defaultRowHeight="15"/>
  <cols>
    <col width="12" customWidth="1" min="1" max="1"/>
    <col width="36" customWidth="1" min="2" max="2"/>
    <col width="22" customWidth="1" min="3" max="3"/>
    <col width="14" customWidth="1" min="4" max="4"/>
    <col width="16" customWidth="1" min="5" max="5"/>
    <col width="16" customWidth="1" min="6" max="6"/>
    <col width="24" customWidth="1" min="7" max="7"/>
    <col width="18" customWidth="1" min="8" max="8"/>
    <col width="18" customWidth="1" min="9" max="9"/>
    <col width="14" customWidth="1" min="10" max="10"/>
    <col width="26" customWidth="1" min="11" max="11"/>
    <col width="16" customWidth="1" min="12" max="12"/>
    <col width="22" customWidth="1" min="13" max="13"/>
    <col width="14" customWidth="1" min="14" max="14"/>
    <col width="12" customWidth="1" min="15" max="15"/>
    <col width="36" customWidth="1" min="16" max="16"/>
    <col width="26" customWidth="1" min="17" max="17"/>
    <col width="14" customWidth="1" min="18" max="18"/>
    <col width="36" customWidth="1" min="19" max="19"/>
  </cols>
  <sheetData>
    <row r="1" ht="32" customHeight="1">
      <c r="A1" s="21" t="inlineStr">
        <is>
          <t>Back-end data tab. Populated by Power Query from the corresponding SharePoint List. Sample rows seeded so dashboards render before Power Query is wired up. Replace via Data → Get Data → Blank Query → paste M code from docs/data_dictionary.md.</t>
        </is>
      </c>
    </row>
    <row r="3" ht="32" customHeight="1">
      <c r="A3" s="5" t="inlineStr">
        <is>
          <t>Submission_ID</t>
        </is>
      </c>
      <c r="B3" s="5" t="inlineStr">
        <is>
          <t>Title</t>
        </is>
      </c>
      <c r="C3" s="5" t="inlineStr">
        <is>
          <t>Submitted_By</t>
        </is>
      </c>
      <c r="D3" s="5" t="inlineStr">
        <is>
          <t>Submitted_Date</t>
        </is>
      </c>
      <c r="E3" s="5" t="inlineStr">
        <is>
          <t>Reporting_Period_Start</t>
        </is>
      </c>
      <c r="F3" s="5" t="inlineStr">
        <is>
          <t>Reporting_Period_End</t>
        </is>
      </c>
      <c r="G3" s="5" t="inlineStr">
        <is>
          <t>OFSA_Dimension</t>
        </is>
      </c>
      <c r="H3" s="5" t="inlineStr">
        <is>
          <t>Food_System_Sector</t>
        </is>
      </c>
      <c r="I3" s="5" t="inlineStr">
        <is>
          <t>Partner_Sector</t>
        </is>
      </c>
      <c r="J3" s="5" t="inlineStr">
        <is>
          <t>Lead_Role</t>
        </is>
      </c>
      <c r="K3" s="5" t="inlineStr">
        <is>
          <t>Institution_Name</t>
        </is>
      </c>
      <c r="L3" s="5" t="inlineStr">
        <is>
          <t>Institution_Type</t>
        </is>
      </c>
      <c r="M3" s="5" t="inlineStr">
        <is>
          <t>Activity_Type</t>
        </is>
      </c>
      <c r="N3" s="5" t="inlineStr">
        <is>
          <t>PO_Value_$</t>
        </is>
      </c>
      <c r="O3" s="5" t="inlineStr">
        <is>
          <t>Items_On_Menu</t>
        </is>
      </c>
      <c r="P3" s="5" t="inlineStr">
        <is>
          <t>Connection_Notes</t>
        </is>
      </c>
      <c r="Q3" s="5" t="inlineStr">
        <is>
          <t>Health_Outcome_Metric</t>
        </is>
      </c>
      <c r="R3" s="5" t="inlineStr">
        <is>
          <t>Health_Outcome_Value</t>
        </is>
      </c>
      <c r="S3" s="5" t="inlineStr">
        <is>
          <t>Notes</t>
        </is>
      </c>
    </row>
    <row r="4">
      <c r="A4" s="4" t="n">
        <v>1</v>
      </c>
      <c r="B4" s="4" t="inlineStr">
        <is>
          <t>RWJBH Newark — Q1 PO</t>
        </is>
      </c>
      <c r="C4" s="4" t="inlineStr">
        <is>
          <t>A. Capece (Director)</t>
        </is>
      </c>
      <c r="D4" s="22" t="n">
        <v>46112</v>
      </c>
      <c r="E4" s="22" t="n">
        <v>46023</v>
      </c>
      <c r="F4" s="22" t="n">
        <v>46112</v>
      </c>
      <c r="G4" s="4" t="inlineStr">
        <is>
          <t>Access; Availability</t>
        </is>
      </c>
      <c r="H4" s="4" t="inlineStr">
        <is>
          <t>Distribution</t>
        </is>
      </c>
      <c r="I4" s="4" t="inlineStr">
        <is>
          <t>Healthcare</t>
        </is>
      </c>
      <c r="J4" s="4" t="inlineStr">
        <is>
          <t>Joint</t>
        </is>
      </c>
      <c r="K4" s="4" t="inlineStr">
        <is>
          <t>RWJBH Newark</t>
        </is>
      </c>
      <c r="L4" s="4" t="inlineStr">
        <is>
          <t>Healthcare</t>
        </is>
      </c>
      <c r="M4" s="4" t="inlineStr">
        <is>
          <t>Purchase Order</t>
        </is>
      </c>
      <c r="N4" s="23" t="n">
        <v>8500</v>
      </c>
      <c r="O4" s="4" t="n"/>
      <c r="P4" s="4" t="inlineStr">
        <is>
          <t>First institutional PO — UAC produce + 2 HARVEST member items.</t>
        </is>
      </c>
      <c r="Q4" s="4" t="n"/>
      <c r="R4" s="4" t="n"/>
      <c r="S4" s="4" t="inlineStr">
        <is>
          <t>Confirms institutional pathway is live.</t>
        </is>
      </c>
    </row>
    <row r="5">
      <c r="A5" s="4" t="n">
        <v>2</v>
      </c>
      <c r="B5" s="4" t="inlineStr">
        <is>
          <t>Rutgers connection</t>
        </is>
      </c>
      <c r="C5" s="4" t="inlineStr">
        <is>
          <t>A. Capece (Director)</t>
        </is>
      </c>
      <c r="D5" s="22" t="n">
        <v>46117</v>
      </c>
      <c r="E5" s="22" t="n">
        <v>46113</v>
      </c>
      <c r="F5" s="22" t="n">
        <v>46142</v>
      </c>
      <c r="G5" s="4" t="inlineStr">
        <is>
          <t>Stability; Access</t>
        </is>
      </c>
      <c r="H5" s="4" t="inlineStr">
        <is>
          <t>n/a</t>
        </is>
      </c>
      <c r="I5" s="4" t="inlineStr">
        <is>
          <t>Education</t>
        </is>
      </c>
      <c r="J5" s="4" t="inlineStr">
        <is>
          <t>HARVEST Lead</t>
        </is>
      </c>
      <c r="K5" s="4" t="inlineStr">
        <is>
          <t>Rutgers New Brunswick</t>
        </is>
      </c>
      <c r="L5" s="4" t="inlineStr">
        <is>
          <t>Education</t>
        </is>
      </c>
      <c r="M5" s="4" t="inlineStr">
        <is>
          <t>Cross-Institution Connection</t>
        </is>
      </c>
      <c r="N5" s="4" t="n"/>
      <c r="O5" s="4" t="n"/>
      <c r="P5" s="4" t="inlineStr">
        <is>
          <t>Joint research interest on food-as-medicine outcomes.</t>
        </is>
      </c>
      <c r="Q5" s="4" t="n"/>
      <c r="R5" s="4" t="n"/>
      <c r="S5" s="4" t="inlineStr">
        <is>
          <t>Lead: Dr. Patel.</t>
        </is>
      </c>
    </row>
  </sheetData>
  <mergeCells count="1">
    <mergeCell ref="A1:S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Y6"/>
  <sheetViews>
    <sheetView showGridLines="0" workbookViewId="0">
      <pane ySplit="3" topLeftCell="A4" activePane="bottomLeft" state="frozen"/>
      <selection pane="bottomLeft" activeCell="A1" sqref="A1"/>
    </sheetView>
  </sheetViews>
  <sheetFormatPr baseColWidth="8" defaultRowHeight="15"/>
  <cols>
    <col width="12" customWidth="1" min="1" max="1"/>
    <col width="32" customWidth="1" min="2" max="2"/>
    <col width="22" customWidth="1" min="3" max="3"/>
    <col width="14" customWidth="1" min="4" max="4"/>
    <col width="16" customWidth="1" min="5" max="5"/>
    <col width="16" customWidth="1" min="6" max="6"/>
    <col width="24" customWidth="1" min="7" max="7"/>
    <col width="18" customWidth="1" min="8" max="8"/>
    <col width="22" customWidth="1" min="9" max="9"/>
    <col width="14" customWidth="1" min="10" max="10"/>
    <col width="28" customWidth="1" min="11" max="11"/>
    <col width="22" customWidth="1" min="12" max="12"/>
    <col width="12" customWidth="1" min="13" max="13"/>
    <col width="12" customWidth="1" min="14" max="14"/>
    <col width="14" customWidth="1" min="15" max="15"/>
    <col width="36" customWidth="1" min="16" max="16"/>
    <col width="10" customWidth="1" min="17" max="17"/>
    <col width="18" customWidth="1" min="18" max="18"/>
    <col width="22" customWidth="1" min="19" max="19"/>
    <col width="14" customWidth="1" min="20" max="20"/>
    <col width="14" customWidth="1" min="21" max="21"/>
    <col width="12" customWidth="1" min="22" max="22"/>
    <col width="22" customWidth="1" min="23" max="23"/>
    <col width="22" customWidth="1" min="24" max="24"/>
    <col width="32" customWidth="1" min="25" max="25"/>
  </cols>
  <sheetData>
    <row r="1" ht="32" customHeight="1">
      <c r="A1" s="21" t="inlineStr">
        <is>
          <t>Back-end data tab. Populated by Power Query from the corresponding SharePoint List. Sample rows seeded so dashboards render before Power Query is wired up. Replace via Data → Get Data → Blank Query → paste M code from docs/data_dictionary.md.</t>
        </is>
      </c>
    </row>
    <row r="3" ht="32" customHeight="1">
      <c r="A3" s="5" t="inlineStr">
        <is>
          <t>Submission_ID</t>
        </is>
      </c>
      <c r="B3" s="5" t="inlineStr">
        <is>
          <t>Title</t>
        </is>
      </c>
      <c r="C3" s="5" t="inlineStr">
        <is>
          <t>Submitted_By</t>
        </is>
      </c>
      <c r="D3" s="5" t="inlineStr">
        <is>
          <t>Submitted_Date</t>
        </is>
      </c>
      <c r="E3" s="5" t="inlineStr">
        <is>
          <t>Reporting_Period_Start</t>
        </is>
      </c>
      <c r="F3" s="5" t="inlineStr">
        <is>
          <t>Reporting_Period_End</t>
        </is>
      </c>
      <c r="G3" s="5" t="inlineStr">
        <is>
          <t>OFSA_Dimension</t>
        </is>
      </c>
      <c r="H3" s="5" t="inlineStr">
        <is>
          <t>Food_System_Sector</t>
        </is>
      </c>
      <c r="I3" s="5" t="inlineStr">
        <is>
          <t>Partner_Sector</t>
        </is>
      </c>
      <c r="J3" s="5" t="inlineStr">
        <is>
          <t>Lead_Role</t>
        </is>
      </c>
      <c r="K3" s="5" t="inlineStr">
        <is>
          <t>Event_Name</t>
        </is>
      </c>
      <c r="L3" s="5" t="inlineStr">
        <is>
          <t>Event_Type</t>
        </is>
      </c>
      <c r="M3" s="5" t="inlineStr">
        <is>
          <t>Event_Date</t>
        </is>
      </c>
      <c r="N3" s="5" t="inlineStr">
        <is>
          <t>Attendance_Count</t>
        </is>
      </c>
      <c r="O3" s="5" t="inlineStr">
        <is>
          <t>Volunteer_Hours</t>
        </is>
      </c>
      <c r="P3" s="5" t="inlineStr">
        <is>
          <t>Orgs_Engaged</t>
        </is>
      </c>
      <c r="Q3" s="5" t="inlineStr">
        <is>
          <t>Sector_Count</t>
        </is>
      </c>
      <c r="R3" s="5" t="inlineStr">
        <is>
          <t>Multilingual_Cultural</t>
        </is>
      </c>
      <c r="S3" s="5" t="inlineStr">
        <is>
          <t>Language_Tradition</t>
        </is>
      </c>
      <c r="T3" s="5" t="inlineStr">
        <is>
          <t>Survey_Satisfaction_Avg</t>
        </is>
      </c>
      <c r="U3" s="5" t="inlineStr">
        <is>
          <t>Survey_Learning_Avg</t>
        </is>
      </c>
      <c r="V3" s="5" t="inlineStr">
        <is>
          <t>Food_Recovery_lbs</t>
        </is>
      </c>
      <c r="W3" s="5" t="inlineStr">
        <is>
          <t>Food_Recovery_Recipient</t>
        </is>
      </c>
      <c r="X3" s="5" t="inlineStr">
        <is>
          <t>Direct_Service_Provider_Onsite</t>
        </is>
      </c>
      <c r="Y3" s="5" t="inlineStr">
        <is>
          <t>Notes</t>
        </is>
      </c>
    </row>
    <row r="4">
      <c r="A4" s="4" t="n">
        <v>1</v>
      </c>
      <c r="B4" s="4" t="inlineStr">
        <is>
          <t>Open House — March</t>
        </is>
      </c>
      <c r="C4" s="4" t="inlineStr">
        <is>
          <t>J. Tran (Outreach)</t>
        </is>
      </c>
      <c r="D4" s="22" t="n">
        <v>46103</v>
      </c>
      <c r="E4" s="22" t="n">
        <v>46103</v>
      </c>
      <c r="F4" s="22" t="n">
        <v>46103</v>
      </c>
      <c r="G4" s="4" t="inlineStr">
        <is>
          <t>Agency; Access</t>
        </is>
      </c>
      <c r="H4" s="4" t="inlineStr">
        <is>
          <t>n/a</t>
        </is>
      </c>
      <c r="I4" s="4" t="inlineStr">
        <is>
          <t>Community-Based Org</t>
        </is>
      </c>
      <c r="J4" s="4" t="inlineStr">
        <is>
          <t>HARVEST Lead</t>
        </is>
      </c>
      <c r="K4" s="4" t="inlineStr">
        <is>
          <t>Open House — March</t>
        </is>
      </c>
      <c r="L4" s="4" t="inlineStr">
        <is>
          <t>HARVEST-Hosted Event</t>
        </is>
      </c>
      <c r="M4" s="22" t="n">
        <v>46103</v>
      </c>
      <c r="N4" s="4" t="n">
        <v>62</v>
      </c>
      <c r="O4" s="4" t="n">
        <v>8.5</v>
      </c>
      <c r="P4" s="4" t="inlineStr">
        <is>
          <t>Bridges; Newark Public Library; La Casa</t>
        </is>
      </c>
      <c r="Q4" s="4" t="n">
        <v>3</v>
      </c>
      <c r="R4" s="4" t="b">
        <v>0</v>
      </c>
      <c r="S4" s="4" t="n"/>
      <c r="T4" s="4" t="n">
        <v>4.5</v>
      </c>
      <c r="U4" s="4" t="n">
        <v>4.3</v>
      </c>
      <c r="V4" s="4" t="n">
        <v>24</v>
      </c>
      <c r="W4" s="4" t="inlineStr">
        <is>
          <t>Bridges</t>
        </is>
      </c>
      <c r="X4" s="4" t="b">
        <v>1</v>
      </c>
      <c r="Y4" s="4" t="inlineStr">
        <is>
          <t>First public open house.</t>
        </is>
      </c>
    </row>
    <row r="5">
      <c r="A5" s="4" t="n">
        <v>2</v>
      </c>
      <c r="B5" s="4" t="inlineStr">
        <is>
          <t>Teaching Kitchen — Diabetes Friendly</t>
        </is>
      </c>
      <c r="C5" s="4" t="inlineStr">
        <is>
          <t>J. Tran (Outreach)</t>
        </is>
      </c>
      <c r="D5" s="22" t="n">
        <v>46117</v>
      </c>
      <c r="E5" s="22" t="n">
        <v>46117</v>
      </c>
      <c r="F5" s="22" t="n">
        <v>46117</v>
      </c>
      <c r="G5" s="4" t="inlineStr">
        <is>
          <t>Utilization; Agency</t>
        </is>
      </c>
      <c r="H5" s="4" t="inlineStr">
        <is>
          <t>n/a</t>
        </is>
      </c>
      <c r="I5" s="4" t="inlineStr">
        <is>
          <t>Community-Based Org</t>
        </is>
      </c>
      <c r="J5" s="4" t="inlineStr">
        <is>
          <t>HARVEST Lead</t>
        </is>
      </c>
      <c r="K5" s="4" t="inlineStr">
        <is>
          <t>Teaching Kitchen — Diabetes Friendly</t>
        </is>
      </c>
      <c r="L5" s="4" t="inlineStr">
        <is>
          <t>Teaching Kitchen</t>
        </is>
      </c>
      <c r="M5" s="22" t="n">
        <v>46117</v>
      </c>
      <c r="N5" s="4" t="n">
        <v>18</v>
      </c>
      <c r="O5" s="4" t="n">
        <v>4</v>
      </c>
      <c r="P5" s="4" t="inlineStr">
        <is>
          <t>RWJBH Community Health</t>
        </is>
      </c>
      <c r="Q5" s="4" t="n">
        <v>1</v>
      </c>
      <c r="R5" s="4" t="b">
        <v>0</v>
      </c>
      <c r="S5" s="4" t="n"/>
      <c r="T5" s="4" t="n">
        <v>4.7</v>
      </c>
      <c r="U5" s="4" t="n">
        <v>4.6</v>
      </c>
      <c r="V5" s="4" t="n">
        <v>0</v>
      </c>
      <c r="W5" s="4" t="n"/>
      <c r="X5" s="4" t="b">
        <v>0</v>
      </c>
      <c r="Y5" s="4" t="inlineStr">
        <is>
          <t>RD-led; 12-week series start.</t>
        </is>
      </c>
    </row>
    <row r="6">
      <c r="A6" s="4" t="n">
        <v>3</v>
      </c>
      <c r="B6" s="4" t="inlineStr">
        <is>
          <t>Latine Food Heritage Night</t>
        </is>
      </c>
      <c r="C6" s="4" t="inlineStr">
        <is>
          <t>J. Tran (Outreach)</t>
        </is>
      </c>
      <c r="D6" s="22" t="n">
        <v>46131</v>
      </c>
      <c r="E6" s="22" t="n">
        <v>46131</v>
      </c>
      <c r="F6" s="22" t="n">
        <v>46131</v>
      </c>
      <c r="G6" s="4" t="inlineStr">
        <is>
          <t>Agency; Access</t>
        </is>
      </c>
      <c r="H6" s="4" t="inlineStr">
        <is>
          <t>Retail-Consumption</t>
        </is>
      </c>
      <c r="I6" s="4" t="inlineStr">
        <is>
          <t>Community-Based Org</t>
        </is>
      </c>
      <c r="J6" s="4" t="inlineStr">
        <is>
          <t>HARVEST Lead</t>
        </is>
      </c>
      <c r="K6" s="4" t="inlineStr">
        <is>
          <t>Latine Food Heritage Night</t>
        </is>
      </c>
      <c r="L6" s="4" t="inlineStr">
        <is>
          <t>Pop-Up</t>
        </is>
      </c>
      <c r="M6" s="22" t="n">
        <v>46131</v>
      </c>
      <c r="N6" s="4" t="n">
        <v>95</v>
      </c>
      <c r="O6" s="4" t="n">
        <v>12</v>
      </c>
      <c r="P6" s="4" t="inlineStr">
        <is>
          <t>La Casa; Lincoln Park Coast Cultural District</t>
        </is>
      </c>
      <c r="Q6" s="4" t="n">
        <v>2</v>
      </c>
      <c r="R6" s="4" t="b">
        <v>1</v>
      </c>
      <c r="S6" s="4" t="inlineStr">
        <is>
          <t>Spanish</t>
        </is>
      </c>
      <c r="T6" s="4" t="n">
        <v>4.8</v>
      </c>
      <c r="U6" s="4" t="n">
        <v>4.5</v>
      </c>
      <c r="V6" s="4" t="n">
        <v>35</v>
      </c>
      <c r="W6" s="4" t="inlineStr">
        <is>
          <t>Bridges</t>
        </is>
      </c>
      <c r="X6" s="4" t="b">
        <v>0</v>
      </c>
      <c r="Y6" s="4" t="inlineStr">
        <is>
          <t>Member businesses showcased.</t>
        </is>
      </c>
    </row>
  </sheetData>
  <mergeCells count="1">
    <mergeCell ref="A1:Y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10"/>
  <sheetViews>
    <sheetView showGridLines="0" workbookViewId="0">
      <pane ySplit="3" topLeftCell="A4" activePane="bottomLeft" state="frozen"/>
      <selection pane="bottomLeft" activeCell="A1" sqref="A1"/>
    </sheetView>
  </sheetViews>
  <sheetFormatPr baseColWidth="8" defaultRowHeight="15"/>
  <cols>
    <col width="12" customWidth="1" min="1" max="1"/>
    <col width="38" customWidth="1" min="2" max="2"/>
    <col width="22" customWidth="1" min="3" max="3"/>
    <col width="14" customWidth="1" min="4" max="4"/>
    <col width="16" customWidth="1" min="5" max="5"/>
    <col width="16" customWidth="1" min="6" max="6"/>
    <col width="24" customWidth="1" min="7" max="7"/>
    <col width="18" customWidth="1" min="8" max="8"/>
    <col width="18" customWidth="1" min="9" max="9"/>
    <col width="14" customWidth="1" min="10" max="10"/>
    <col width="26" customWidth="1" min="11" max="11"/>
    <col width="26" customWidth="1" min="12" max="12"/>
    <col width="14" customWidth="1" min="13" max="13"/>
    <col width="14" customWidth="1" min="14" max="14"/>
    <col width="14" customWidth="1" min="15" max="15"/>
    <col width="14" customWidth="1" min="16" max="16"/>
    <col width="28" customWidth="1" min="17" max="17"/>
    <col width="12" customWidth="1" min="18" max="18"/>
    <col width="14" customWidth="1" min="19" max="19"/>
    <col width="38" customWidth="1" min="20" max="20"/>
  </cols>
  <sheetData>
    <row r="1" ht="32" customHeight="1">
      <c r="A1" s="21" t="inlineStr">
        <is>
          <t>Back-end data tab. Populated by Power Query from the corresponding SharePoint List. Sample rows seeded so dashboards render before Power Query is wired up. Replace via Data → Get Data → Blank Query → paste M code from docs/data_dictionary.md.</t>
        </is>
      </c>
    </row>
    <row r="3" ht="32" customHeight="1">
      <c r="A3" s="5" t="inlineStr">
        <is>
          <t>Submission_ID</t>
        </is>
      </c>
      <c r="B3" s="5" t="inlineStr">
        <is>
          <t>Title</t>
        </is>
      </c>
      <c r="C3" s="5" t="inlineStr">
        <is>
          <t>Submitted_By</t>
        </is>
      </c>
      <c r="D3" s="5" t="inlineStr">
        <is>
          <t>Submitted_Date</t>
        </is>
      </c>
      <c r="E3" s="5" t="inlineStr">
        <is>
          <t>Reporting_Period_Start</t>
        </is>
      </c>
      <c r="F3" s="5" t="inlineStr">
        <is>
          <t>Reporting_Period_End</t>
        </is>
      </c>
      <c r="G3" s="5" t="inlineStr">
        <is>
          <t>OFSA_Dimension</t>
        </is>
      </c>
      <c r="H3" s="5" t="inlineStr">
        <is>
          <t>Food_System_Sector</t>
        </is>
      </c>
      <c r="I3" s="5" t="inlineStr">
        <is>
          <t>Partner_Sector</t>
        </is>
      </c>
      <c r="J3" s="5" t="inlineStr">
        <is>
          <t>Lead_Role</t>
        </is>
      </c>
      <c r="K3" s="5" t="inlineStr">
        <is>
          <t>Funder_Name</t>
        </is>
      </c>
      <c r="L3" s="5" t="inlineStr">
        <is>
          <t>Activity_Type</t>
        </is>
      </c>
      <c r="M3" s="5" t="inlineStr">
        <is>
          <t>Amount_$</t>
        </is>
      </c>
      <c r="N3" s="5" t="inlineStr">
        <is>
          <t>Period_Start</t>
        </is>
      </c>
      <c r="O3" s="5" t="inlineStr">
        <is>
          <t>Period_End</t>
        </is>
      </c>
      <c r="P3" s="5" t="inlineStr">
        <is>
          <t>Earned_Revenue_%</t>
        </is>
      </c>
      <c r="Q3" s="5" t="inlineStr">
        <is>
          <t>Leveraged_Capital_Source</t>
        </is>
      </c>
      <c r="R3" s="5" t="inlineStr">
        <is>
          <t>SROI_Ratio</t>
        </is>
      </c>
      <c r="S3" s="5" t="inlineStr">
        <is>
          <t>Status</t>
        </is>
      </c>
      <c r="T3" s="5" t="inlineStr">
        <is>
          <t>Notes</t>
        </is>
      </c>
    </row>
    <row r="4">
      <c r="A4" s="4" t="n">
        <v>1</v>
      </c>
      <c r="B4" s="4" t="inlineStr">
        <is>
          <t>Whole Cities Foundation — 2026 grant</t>
        </is>
      </c>
      <c r="C4" s="4" t="inlineStr">
        <is>
          <t>A. Capece (Director)</t>
        </is>
      </c>
      <c r="D4" s="22" t="n">
        <v>46065</v>
      </c>
      <c r="E4" s="22" t="n">
        <v>46023</v>
      </c>
      <c r="F4" s="22" t="n">
        <v>46387</v>
      </c>
      <c r="G4" s="4" t="inlineStr">
        <is>
          <t>Stability</t>
        </is>
      </c>
      <c r="H4" s="4" t="inlineStr">
        <is>
          <t>n/a</t>
        </is>
      </c>
      <c r="I4" s="4" t="inlineStr">
        <is>
          <t>Philanthropy</t>
        </is>
      </c>
      <c r="J4" s="4" t="inlineStr">
        <is>
          <t>HARVEST Lead</t>
        </is>
      </c>
      <c r="K4" s="4" t="inlineStr">
        <is>
          <t>Whole Cities Foundation</t>
        </is>
      </c>
      <c r="L4" s="4" t="inlineStr">
        <is>
          <t>Grant</t>
        </is>
      </c>
      <c r="M4" s="23" t="n">
        <v>75000</v>
      </c>
      <c r="N4" s="22" t="n">
        <v>46054</v>
      </c>
      <c r="O4" s="22" t="n">
        <v>46387</v>
      </c>
      <c r="P4" s="4" t="n"/>
      <c r="Q4" s="4" t="n"/>
      <c r="R4" s="4" t="n"/>
      <c r="S4" s="4" t="inlineStr">
        <is>
          <t>Active</t>
        </is>
      </c>
      <c r="T4" s="4" t="inlineStr">
        <is>
          <t>Anchor 2026 grant.</t>
        </is>
      </c>
    </row>
    <row r="5">
      <c r="A5" s="4" t="n">
        <v>2</v>
      </c>
      <c r="B5" s="4" t="inlineStr">
        <is>
          <t>JSC — January 2026</t>
        </is>
      </c>
      <c r="C5" s="4" t="inlineStr">
        <is>
          <t>A. Capece (Director)</t>
        </is>
      </c>
      <c r="D5" s="22" t="n">
        <v>46040</v>
      </c>
      <c r="E5" s="22" t="n">
        <v>46040</v>
      </c>
      <c r="F5" s="22" t="n">
        <v>46040</v>
      </c>
      <c r="G5" s="4" t="inlineStr">
        <is>
          <t>Stability</t>
        </is>
      </c>
      <c r="H5" s="4" t="inlineStr">
        <is>
          <t>n/a</t>
        </is>
      </c>
      <c r="I5" s="4" t="inlineStr">
        <is>
          <t>Philanthropy</t>
        </is>
      </c>
      <c r="J5" s="4" t="inlineStr">
        <is>
          <t>Joint</t>
        </is>
      </c>
      <c r="K5" s="4" t="inlineStr">
        <is>
          <t>JSC</t>
        </is>
      </c>
      <c r="L5" s="4" t="inlineStr">
        <is>
          <t>JSC Meeting</t>
        </is>
      </c>
      <c r="M5" s="4" t="n"/>
      <c r="N5" s="4" t="n"/>
      <c r="O5" s="4" t="n"/>
      <c r="P5" s="4" t="n"/>
      <c r="Q5" s="4" t="n"/>
      <c r="R5" s="4" t="n"/>
      <c r="S5" s="4" t="inlineStr">
        <is>
          <t>Closed</t>
        </is>
      </c>
      <c r="T5" s="4" t="inlineStr">
        <is>
          <t>Reviewed Q4 2025 ops; approved 2026 KPI framework.</t>
        </is>
      </c>
    </row>
    <row r="6">
      <c r="A6" s="4" t="n">
        <v>3</v>
      </c>
      <c r="B6" s="4" t="inlineStr">
        <is>
          <t>JSC — March 2026</t>
        </is>
      </c>
      <c r="C6" s="4" t="inlineStr">
        <is>
          <t>A. Capece (Director)</t>
        </is>
      </c>
      <c r="D6" s="22" t="n">
        <v>46095</v>
      </c>
      <c r="E6" s="22" t="n">
        <v>46095</v>
      </c>
      <c r="F6" s="22" t="n">
        <v>46095</v>
      </c>
      <c r="G6" s="4" t="inlineStr">
        <is>
          <t>Stability</t>
        </is>
      </c>
      <c r="H6" s="4" t="inlineStr">
        <is>
          <t>n/a</t>
        </is>
      </c>
      <c r="I6" s="4" t="inlineStr">
        <is>
          <t>Philanthropy</t>
        </is>
      </c>
      <c r="J6" s="4" t="inlineStr">
        <is>
          <t>Joint</t>
        </is>
      </c>
      <c r="K6" s="4" t="inlineStr">
        <is>
          <t>JSC</t>
        </is>
      </c>
      <c r="L6" s="4" t="inlineStr">
        <is>
          <t>JSC Meeting</t>
        </is>
      </c>
      <c r="M6" s="4" t="n"/>
      <c r="N6" s="4" t="n"/>
      <c r="O6" s="4" t="n"/>
      <c r="P6" s="4" t="n"/>
      <c r="Q6" s="4" t="n"/>
      <c r="R6" s="4" t="n"/>
      <c r="S6" s="4" t="inlineStr">
        <is>
          <t>Closed</t>
        </is>
      </c>
      <c r="T6" s="4" t="inlineStr">
        <is>
          <t>Founding cohort selection.</t>
        </is>
      </c>
    </row>
    <row r="7">
      <c r="A7" s="4" t="n">
        <v>4</v>
      </c>
      <c r="B7" s="4" t="inlineStr">
        <is>
          <t>CAB member — D. Okafor (Healthcare)</t>
        </is>
      </c>
      <c r="C7" s="4" t="inlineStr">
        <is>
          <t>A. Capece (Director)</t>
        </is>
      </c>
      <c r="D7" s="22" t="n">
        <v>46109</v>
      </c>
      <c r="E7" s="22" t="n">
        <v>46109</v>
      </c>
      <c r="F7" s="22" t="n">
        <v>46109</v>
      </c>
      <c r="G7" s="4" t="inlineStr">
        <is>
          <t>Agency; Stability</t>
        </is>
      </c>
      <c r="H7" s="4" t="inlineStr">
        <is>
          <t>n/a</t>
        </is>
      </c>
      <c r="I7" s="4" t="inlineStr">
        <is>
          <t>Community-Based Org</t>
        </is>
      </c>
      <c r="J7" s="4" t="inlineStr">
        <is>
          <t>HARVEST Lead</t>
        </is>
      </c>
      <c r="K7" s="4" t="inlineStr">
        <is>
          <t>CAB</t>
        </is>
      </c>
      <c r="L7" s="4" t="inlineStr">
        <is>
          <t>CAB Member Added</t>
        </is>
      </c>
      <c r="M7" s="4" t="n"/>
      <c r="N7" s="4" t="n"/>
      <c r="O7" s="4" t="n"/>
      <c r="P7" s="4" t="n"/>
      <c r="Q7" s="4" t="n"/>
      <c r="R7" s="4" t="n"/>
      <c r="S7" s="4" t="inlineStr">
        <is>
          <t>Active</t>
        </is>
      </c>
      <c r="T7" s="4" t="inlineStr">
        <is>
          <t>D. Okafor — Healthcare sector.</t>
        </is>
      </c>
    </row>
    <row r="8">
      <c r="A8" s="4" t="n">
        <v>5</v>
      </c>
      <c r="B8" s="4" t="inlineStr">
        <is>
          <t>CAB member — M. Vega (Food Enterprise)</t>
        </is>
      </c>
      <c r="C8" s="4" t="inlineStr">
        <is>
          <t>A. Capece (Director)</t>
        </is>
      </c>
      <c r="D8" s="22" t="n">
        <v>46116</v>
      </c>
      <c r="E8" s="22" t="n">
        <v>46116</v>
      </c>
      <c r="F8" s="22" t="n">
        <v>46116</v>
      </c>
      <c r="G8" s="4" t="inlineStr">
        <is>
          <t>Agency; Stability</t>
        </is>
      </c>
      <c r="H8" s="4" t="inlineStr">
        <is>
          <t>n/a</t>
        </is>
      </c>
      <c r="I8" s="4" t="inlineStr">
        <is>
          <t>Community-Based Org</t>
        </is>
      </c>
      <c r="J8" s="4" t="inlineStr">
        <is>
          <t>HARVEST Lead</t>
        </is>
      </c>
      <c r="K8" s="4" t="inlineStr">
        <is>
          <t>CAB</t>
        </is>
      </c>
      <c r="L8" s="4" t="inlineStr">
        <is>
          <t>CAB Member Added</t>
        </is>
      </c>
      <c r="M8" s="4" t="n"/>
      <c r="N8" s="4" t="n"/>
      <c r="O8" s="4" t="n"/>
      <c r="P8" s="4" t="n"/>
      <c r="Q8" s="4" t="n"/>
      <c r="R8" s="4" t="n"/>
      <c r="S8" s="4" t="inlineStr">
        <is>
          <t>Active</t>
        </is>
      </c>
      <c r="T8" s="4" t="inlineStr">
        <is>
          <t>M. Vega — Food Enterprise sector.</t>
        </is>
      </c>
    </row>
    <row r="9">
      <c r="A9" s="4" t="n">
        <v>6</v>
      </c>
      <c r="B9" s="4" t="inlineStr">
        <is>
          <t>Q1 earned revenue snapshot</t>
        </is>
      </c>
      <c r="C9" s="4" t="inlineStr">
        <is>
          <t>A. Capece (Director)</t>
        </is>
      </c>
      <c r="D9" s="22" t="n">
        <v>46112</v>
      </c>
      <c r="E9" s="22" t="n">
        <v>46023</v>
      </c>
      <c r="F9" s="22" t="n">
        <v>46112</v>
      </c>
      <c r="G9" s="4" t="inlineStr">
        <is>
          <t>Stability; Sustainability</t>
        </is>
      </c>
      <c r="H9" s="4" t="inlineStr">
        <is>
          <t>Processing</t>
        </is>
      </c>
      <c r="I9" s="4" t="inlineStr">
        <is>
          <t>Philanthropy</t>
        </is>
      </c>
      <c r="J9" s="4" t="inlineStr">
        <is>
          <t>HARVEST Lead</t>
        </is>
      </c>
      <c r="K9" s="4" t="inlineStr">
        <is>
          <t>HARVEST</t>
        </is>
      </c>
      <c r="L9" s="4" t="inlineStr">
        <is>
          <t>Earned Revenue Snapshot</t>
        </is>
      </c>
      <c r="M9" s="4" t="n"/>
      <c r="N9" s="22" t="n">
        <v>46023</v>
      </c>
      <c r="O9" s="22" t="n">
        <v>46112</v>
      </c>
      <c r="P9" s="4" t="n">
        <v>18</v>
      </c>
      <c r="Q9" s="4" t="n"/>
      <c r="R9" s="4" t="n"/>
      <c r="S9" s="4" t="inlineStr">
        <is>
          <t>Closed</t>
        </is>
      </c>
      <c r="T9" s="4" t="inlineStr">
        <is>
          <t>Mostly rentals; expect to rise as cohort scales.</t>
        </is>
      </c>
    </row>
    <row r="10">
      <c r="A10" s="4" t="n">
        <v>7</v>
      </c>
      <c r="B10" s="4" t="inlineStr">
        <is>
          <t>Professional development — ServSafe Manager Cert</t>
        </is>
      </c>
      <c r="C10" s="4" t="inlineStr">
        <is>
          <t>A. Capece (Director)</t>
        </is>
      </c>
      <c r="D10" s="22" t="n">
        <v>46134</v>
      </c>
      <c r="E10" s="22" t="n">
        <v>46134</v>
      </c>
      <c r="F10" s="22" t="n">
        <v>46134</v>
      </c>
      <c r="G10" s="4" t="inlineStr">
        <is>
          <t>Stability</t>
        </is>
      </c>
      <c r="H10" s="4" t="inlineStr">
        <is>
          <t>n/a</t>
        </is>
      </c>
      <c r="I10" s="4" t="inlineStr">
        <is>
          <t>Philanthropy</t>
        </is>
      </c>
      <c r="J10" s="4" t="inlineStr">
        <is>
          <t>HARVEST Lead</t>
        </is>
      </c>
      <c r="K10" s="4" t="inlineStr">
        <is>
          <t>HARVEST</t>
        </is>
      </c>
      <c r="L10" s="4" t="inlineStr">
        <is>
          <t>Professional Development</t>
        </is>
      </c>
      <c r="M10" s="4" t="n"/>
      <c r="N10" s="4" t="n"/>
      <c r="O10" s="4" t="n"/>
      <c r="P10" s="4" t="n"/>
      <c r="Q10" s="4" t="n"/>
      <c r="R10" s="4" t="n"/>
      <c r="S10" s="4" t="inlineStr">
        <is>
          <t>Closed</t>
        </is>
      </c>
      <c r="T10" s="4" t="inlineStr">
        <is>
          <t>Director ServSafe Manager Cert — passed.</t>
        </is>
      </c>
    </row>
  </sheetData>
  <mergeCells count="1">
    <mergeCell ref="A1:T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X7"/>
  <sheetViews>
    <sheetView showGridLines="0" workbookViewId="0">
      <pane ySplit="3" topLeftCell="A4" activePane="bottomLeft" state="frozen"/>
      <selection pane="bottomLeft" activeCell="A1" sqref="A1"/>
    </sheetView>
  </sheetViews>
  <sheetFormatPr baseColWidth="8" defaultRowHeight="15"/>
  <cols>
    <col width="12" customWidth="1" min="1" max="1"/>
    <col width="36" customWidth="1" min="2" max="2"/>
    <col width="18" customWidth="1" min="3" max="3"/>
    <col width="14" customWidth="1" min="4" max="4"/>
    <col width="16" customWidth="1" min="5" max="5"/>
    <col width="16" customWidth="1" min="6" max="6"/>
    <col width="26" customWidth="1" min="7" max="7"/>
    <col width="16" customWidth="1" min="8" max="8"/>
    <col width="14" customWidth="1" min="9" max="9"/>
    <col width="12" customWidth="1" min="10" max="10"/>
    <col width="22" customWidth="1" min="11" max="11"/>
    <col width="22" customWidth="1" min="12" max="12"/>
    <col width="24" customWidth="1" min="13" max="13"/>
    <col width="28" customWidth="1" min="14" max="14"/>
    <col width="12" customWidth="1" min="15" max="15"/>
    <col width="14" customWidth="1" min="16" max="16"/>
    <col width="22" customWidth="1" min="17" max="17"/>
    <col width="32" customWidth="1" min="18" max="18"/>
    <col width="14" customWidth="1" min="19" max="19"/>
    <col width="26" customWidth="1" min="20" max="20"/>
    <col width="26" customWidth="1" min="21" max="21"/>
    <col width="16" customWidth="1" min="22" max="22"/>
    <col width="14" customWidth="1" min="23" max="23"/>
    <col width="28" customWidth="1" min="24" max="24"/>
  </cols>
  <sheetData>
    <row r="1" ht="32" customHeight="1">
      <c r="A1" s="21" t="inlineStr">
        <is>
          <t>Back-end data tab. Populated by Power Query from the corresponding SharePoint List. Sample rows seeded so dashboards render before Power Query is wired up. Replace via Data → Get Data → Blank Query → paste M code from docs/data_dictionary.md.</t>
        </is>
      </c>
    </row>
    <row r="3" ht="32" customHeight="1">
      <c r="A3" s="5" t="inlineStr">
        <is>
          <t>Submission_ID</t>
        </is>
      </c>
      <c r="B3" s="5" t="inlineStr">
        <is>
          <t>Title</t>
        </is>
      </c>
      <c r="C3" s="5" t="inlineStr">
        <is>
          <t>Submitted_By</t>
        </is>
      </c>
      <c r="D3" s="5" t="inlineStr">
        <is>
          <t>Submitted_Date</t>
        </is>
      </c>
      <c r="E3" s="5" t="inlineStr">
        <is>
          <t>Reporting_Period_Start</t>
        </is>
      </c>
      <c r="F3" s="5" t="inlineStr">
        <is>
          <t>Reporting_Period_End</t>
        </is>
      </c>
      <c r="G3" s="5" t="inlineStr">
        <is>
          <t>OFSA_Dimension</t>
        </is>
      </c>
      <c r="H3" s="5" t="inlineStr">
        <is>
          <t>Food_System_Sector</t>
        </is>
      </c>
      <c r="I3" s="5" t="inlineStr">
        <is>
          <t>Partner_Sector</t>
        </is>
      </c>
      <c r="J3" s="5" t="inlineStr">
        <is>
          <t>Lead_Role</t>
        </is>
      </c>
      <c r="K3" s="5" t="inlineStr">
        <is>
          <t>Farm_Name</t>
        </is>
      </c>
      <c r="L3" s="5" t="inlineStr">
        <is>
          <t>Farm_Location</t>
        </is>
      </c>
      <c r="M3" s="5" t="inlineStr">
        <is>
          <t>Farm_Contact</t>
        </is>
      </c>
      <c r="N3" s="5" t="inlineStr">
        <is>
          <t>Produce_Types</t>
        </is>
      </c>
      <c r="O3" s="5" t="inlineStr">
        <is>
          <t>Produce_lbs</t>
        </is>
      </c>
      <c r="P3" s="5" t="inlineStr">
        <is>
          <t>Produce_Value_$</t>
        </is>
      </c>
      <c r="Q3" s="5" t="inlineStr">
        <is>
          <t>Origin_Region</t>
        </is>
      </c>
      <c r="R3" s="5" t="inlineStr">
        <is>
          <t>Distribution_Destinations</t>
        </is>
      </c>
      <c r="S3" s="5" t="inlineStr">
        <is>
          <t>Value_Added_Product</t>
        </is>
      </c>
      <c r="T3" s="5" t="inlineStr">
        <is>
          <t>Value_Added_Description</t>
        </is>
      </c>
      <c r="U3" s="5" t="inlineStr">
        <is>
          <t>Demographic_Race_Ethnicity</t>
        </is>
      </c>
      <c r="V3" s="5" t="inlineStr">
        <is>
          <t>Demographic_Gender</t>
        </is>
      </c>
      <c r="W3" s="5" t="inlineStr">
        <is>
          <t>Demographic_Age_Band</t>
        </is>
      </c>
      <c r="X3" s="5" t="inlineStr">
        <is>
          <t>Notes</t>
        </is>
      </c>
    </row>
    <row r="4">
      <c r="A4" s="4" t="n">
        <v>1</v>
      </c>
      <c r="B4" s="4" t="inlineStr">
        <is>
          <t>Greenfields Farm — March 2026</t>
        </is>
      </c>
      <c r="C4" s="4" t="inlineStr">
        <is>
          <t>R. Owens (UAC)</t>
        </is>
      </c>
      <c r="D4" s="22" t="n">
        <v>46115</v>
      </c>
      <c r="E4" s="22" t="n">
        <v>46082</v>
      </c>
      <c r="F4" s="22" t="n">
        <v>46112</v>
      </c>
      <c r="G4" s="4" t="inlineStr">
        <is>
          <t>Availability; Access; Agency</t>
        </is>
      </c>
      <c r="H4" s="4" t="inlineStr">
        <is>
          <t>Aggregation</t>
        </is>
      </c>
      <c r="I4" s="4" t="inlineStr">
        <is>
          <t>Agriculture</t>
        </is>
      </c>
      <c r="J4" s="4" t="inlineStr">
        <is>
          <t>UAC Lead</t>
        </is>
      </c>
      <c r="K4" s="4" t="inlineStr">
        <is>
          <t>Greenfields Farm</t>
        </is>
      </c>
      <c r="L4" s="4" t="inlineStr">
        <is>
          <t>Sussex County, NJ</t>
        </is>
      </c>
      <c r="M4" s="4" t="inlineStr">
        <is>
          <t>rowens@greenfields.example</t>
        </is>
      </c>
      <c r="N4" s="4" t="inlineStr">
        <is>
          <t>kale; collards; turnips</t>
        </is>
      </c>
      <c r="O4" s="4" t="n">
        <v>480</v>
      </c>
      <c r="P4" s="23" t="n">
        <v>1200</v>
      </c>
      <c r="Q4" s="4" t="inlineStr">
        <is>
          <t>Sussex County, NJ</t>
        </is>
      </c>
      <c r="R4" s="4" t="inlineStr">
        <is>
          <t>RWJBH Newark cafeteria; Bridges</t>
        </is>
      </c>
      <c r="S4" s="23" t="b">
        <v>0</v>
      </c>
      <c r="T4" s="4" t="n"/>
      <c r="U4" s="4" t="inlineStr">
        <is>
          <t>Black/African American</t>
        </is>
      </c>
      <c r="V4" s="4" t="inlineStr">
        <is>
          <t>Man</t>
        </is>
      </c>
      <c r="W4" s="4" t="inlineStr">
        <is>
          <t>45–54</t>
        </is>
      </c>
      <c r="X4" s="4" t="n"/>
    </row>
    <row r="5">
      <c r="A5" s="4" t="n">
        <v>2</v>
      </c>
      <c r="B5" s="4" t="inlineStr">
        <is>
          <t>Sunrise Acres — March 2026</t>
        </is>
      </c>
      <c r="C5" s="4" t="inlineStr">
        <is>
          <t>R. Owens (UAC)</t>
        </is>
      </c>
      <c r="D5" s="22" t="n">
        <v>46115</v>
      </c>
      <c r="E5" s="22" t="n">
        <v>46082</v>
      </c>
      <c r="F5" s="22" t="n">
        <v>46112</v>
      </c>
      <c r="G5" s="4" t="inlineStr">
        <is>
          <t>Availability; Access; Stability</t>
        </is>
      </c>
      <c r="H5" s="4" t="inlineStr">
        <is>
          <t>Aggregation</t>
        </is>
      </c>
      <c r="I5" s="4" t="inlineStr">
        <is>
          <t>Agriculture</t>
        </is>
      </c>
      <c r="J5" s="4" t="inlineStr">
        <is>
          <t>UAC Lead</t>
        </is>
      </c>
      <c r="K5" s="4" t="inlineStr">
        <is>
          <t>Sunrise Acres</t>
        </is>
      </c>
      <c r="L5" s="4" t="inlineStr">
        <is>
          <t>Hunterdon County, NJ</t>
        </is>
      </c>
      <c r="M5" s="4" t="inlineStr">
        <is>
          <t>info@sunriseacres.example</t>
        </is>
      </c>
      <c r="N5" s="4" t="inlineStr">
        <is>
          <t>tomatoes; peppers</t>
        </is>
      </c>
      <c r="O5" s="4" t="n">
        <v>320</v>
      </c>
      <c r="P5" s="23" t="n">
        <v>980</v>
      </c>
      <c r="Q5" s="4" t="inlineStr">
        <is>
          <t>Hunterdon County, NJ</t>
        </is>
      </c>
      <c r="R5" s="4" t="inlineStr">
        <is>
          <t>Newark Public Schools pilot</t>
        </is>
      </c>
      <c r="S5" s="23" t="b">
        <v>1</v>
      </c>
      <c r="T5" s="4" t="inlineStr">
        <is>
          <t>Pepper hot sauce — Newark Eats LLC</t>
        </is>
      </c>
      <c r="U5" s="4" t="inlineStr">
        <is>
          <t>Hispanic/Latino</t>
        </is>
      </c>
      <c r="V5" s="4" t="inlineStr">
        <is>
          <t>Woman</t>
        </is>
      </c>
      <c r="W5" s="4" t="inlineStr">
        <is>
          <t>35–44</t>
        </is>
      </c>
      <c r="X5" s="4" t="inlineStr">
        <is>
          <t>Value-added through Newark Eats LLC.</t>
        </is>
      </c>
    </row>
    <row r="6">
      <c r="A6" s="4" t="n">
        <v>3</v>
      </c>
      <c r="B6" s="4" t="inlineStr">
        <is>
          <t>Liberty Roots — April 2026</t>
        </is>
      </c>
      <c r="C6" s="4" t="inlineStr">
        <is>
          <t>R. Owens (UAC)</t>
        </is>
      </c>
      <c r="D6" s="22" t="n">
        <v>46144</v>
      </c>
      <c r="E6" s="22" t="n">
        <v>46113</v>
      </c>
      <c r="F6" s="22" t="n">
        <v>46142</v>
      </c>
      <c r="G6" s="4" t="inlineStr">
        <is>
          <t>Availability; Access; Agency</t>
        </is>
      </c>
      <c r="H6" s="4" t="inlineStr">
        <is>
          <t>Aggregation</t>
        </is>
      </c>
      <c r="I6" s="4" t="inlineStr">
        <is>
          <t>Agriculture</t>
        </is>
      </c>
      <c r="J6" s="4" t="inlineStr">
        <is>
          <t>UAC Lead</t>
        </is>
      </c>
      <c r="K6" s="4" t="inlineStr">
        <is>
          <t>Liberty Roots</t>
        </is>
      </c>
      <c r="L6" s="4" t="inlineStr">
        <is>
          <t>Essex County, NJ</t>
        </is>
      </c>
      <c r="M6" s="4" t="inlineStr">
        <is>
          <t>liberty@roots.example</t>
        </is>
      </c>
      <c r="N6" s="4" t="inlineStr">
        <is>
          <t>salad greens; radishes</t>
        </is>
      </c>
      <c r="O6" s="4" t="n">
        <v>210</v>
      </c>
      <c r="P6" s="23" t="n">
        <v>640</v>
      </c>
      <c r="Q6" s="4" t="inlineStr">
        <is>
          <t>Essex County, NJ</t>
        </is>
      </c>
      <c r="R6" s="4" t="inlineStr">
        <is>
          <t>RWJBH Newark cafeteria</t>
        </is>
      </c>
      <c r="S6" s="23" t="b">
        <v>0</v>
      </c>
      <c r="T6" s="4" t="n"/>
      <c r="U6" s="4" t="inlineStr">
        <is>
          <t>Black/African American</t>
        </is>
      </c>
      <c r="V6" s="4" t="inlineStr">
        <is>
          <t>Woman</t>
        </is>
      </c>
      <c r="W6" s="4" t="inlineStr">
        <is>
          <t>25–34</t>
        </is>
      </c>
      <c r="X6" s="4" t="inlineStr">
        <is>
          <t>New farmer this period.</t>
        </is>
      </c>
    </row>
    <row r="7">
      <c r="A7" s="4" t="n">
        <v>4</v>
      </c>
      <c r="B7" s="4" t="inlineStr">
        <is>
          <t>Hudson Hill Farm — April 2026</t>
        </is>
      </c>
      <c r="C7" s="4" t="inlineStr">
        <is>
          <t>R. Owens (UAC)</t>
        </is>
      </c>
      <c r="D7" s="22" t="n">
        <v>46144</v>
      </c>
      <c r="E7" s="22" t="n">
        <v>46113</v>
      </c>
      <c r="F7" s="22" t="n">
        <v>46142</v>
      </c>
      <c r="G7" s="4" t="inlineStr">
        <is>
          <t>Availability; Sustainability</t>
        </is>
      </c>
      <c r="H7" s="4" t="inlineStr">
        <is>
          <t>Aggregation</t>
        </is>
      </c>
      <c r="I7" s="4" t="inlineStr">
        <is>
          <t>Agriculture</t>
        </is>
      </c>
      <c r="J7" s="4" t="inlineStr">
        <is>
          <t>UAC Lead</t>
        </is>
      </c>
      <c r="K7" s="4" t="inlineStr">
        <is>
          <t>Hudson Hill Farm</t>
        </is>
      </c>
      <c r="L7" s="4" t="inlineStr">
        <is>
          <t>Warren County, NJ</t>
        </is>
      </c>
      <c r="M7" s="4" t="inlineStr">
        <is>
          <t>hudson@hill.example</t>
        </is>
      </c>
      <c r="N7" s="4" t="inlineStr">
        <is>
          <t>carrots; beets; squash</t>
        </is>
      </c>
      <c r="O7" s="4" t="n">
        <v>540</v>
      </c>
      <c r="P7" s="23" t="n">
        <v>1450</v>
      </c>
      <c r="Q7" s="4" t="inlineStr">
        <is>
          <t>Warren County, NJ</t>
        </is>
      </c>
      <c r="R7" s="4" t="inlineStr">
        <is>
          <t>Bridges; Newark Public Schools pilot</t>
        </is>
      </c>
      <c r="S7" s="23" t="b">
        <v>0</v>
      </c>
      <c r="T7" s="4" t="n"/>
      <c r="U7" s="4" t="inlineStr">
        <is>
          <t>White</t>
        </is>
      </c>
      <c r="V7" s="4" t="inlineStr">
        <is>
          <t>Man</t>
        </is>
      </c>
      <c r="W7" s="4" t="inlineStr">
        <is>
          <t>55–64</t>
        </is>
      </c>
      <c r="X7" s="4" t="n"/>
    </row>
  </sheetData>
  <mergeCells count="1">
    <mergeCell ref="A1:X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R7"/>
  <sheetViews>
    <sheetView showGridLines="0" workbookViewId="0">
      <pane ySplit="3" topLeftCell="A4" activePane="bottomLeft" state="frozen"/>
      <selection pane="bottomLeft" activeCell="A1" sqref="A1"/>
    </sheetView>
  </sheetViews>
  <sheetFormatPr baseColWidth="8" defaultRowHeight="15"/>
  <cols>
    <col width="12" customWidth="1" min="1" max="1"/>
    <col width="36" customWidth="1" min="2" max="2"/>
    <col width="18" customWidth="1" min="3" max="3"/>
    <col width="14" customWidth="1" min="4" max="4"/>
    <col width="16" customWidth="1" min="5" max="5"/>
    <col width="16" customWidth="1" min="6" max="6"/>
    <col width="24" customWidth="1" min="7" max="7"/>
    <col width="18" customWidth="1" min="8" max="8"/>
    <col width="22" customWidth="1" min="9" max="9"/>
    <col width="14" customWidth="1" min="10" max="10"/>
    <col width="24" customWidth="1" min="11" max="11"/>
    <col width="14" customWidth="1" min="12" max="12"/>
    <col width="12" customWidth="1" min="13" max="13"/>
    <col width="14" customWidth="1" min="14" max="14"/>
    <col width="22" customWidth="1" min="15" max="15"/>
    <col width="12" customWidth="1" min="16" max="16"/>
    <col width="26" customWidth="1" min="17" max="17"/>
    <col width="28" customWidth="1" min="18" max="18"/>
  </cols>
  <sheetData>
    <row r="1" ht="32" customHeight="1">
      <c r="A1" s="21" t="inlineStr">
        <is>
          <t>Back-end data tab. Populated by Power Query from the corresponding SharePoint List. Sample rows seeded so dashboards render before Power Query is wired up. Replace via Data → Get Data → Blank Query → paste M code from docs/data_dictionary.md.</t>
        </is>
      </c>
    </row>
    <row r="3" ht="32" customHeight="1">
      <c r="A3" s="5" t="inlineStr">
        <is>
          <t>Submission_ID</t>
        </is>
      </c>
      <c r="B3" s="5" t="inlineStr">
        <is>
          <t>Title</t>
        </is>
      </c>
      <c r="C3" s="5" t="inlineStr">
        <is>
          <t>Submitted_By</t>
        </is>
      </c>
      <c r="D3" s="5" t="inlineStr">
        <is>
          <t>Submitted_Date</t>
        </is>
      </c>
      <c r="E3" s="5" t="inlineStr">
        <is>
          <t>Reporting_Period_Start</t>
        </is>
      </c>
      <c r="F3" s="5" t="inlineStr">
        <is>
          <t>Reporting_Period_End</t>
        </is>
      </c>
      <c r="G3" s="5" t="inlineStr">
        <is>
          <t>OFSA_Dimension</t>
        </is>
      </c>
      <c r="H3" s="5" t="inlineStr">
        <is>
          <t>Food_System_Sector</t>
        </is>
      </c>
      <c r="I3" s="5" t="inlineStr">
        <is>
          <t>Partner_Sector</t>
        </is>
      </c>
      <c r="J3" s="5" t="inlineStr">
        <is>
          <t>Lead_Role</t>
        </is>
      </c>
      <c r="K3" s="5" t="inlineStr">
        <is>
          <t>Activity_Type</t>
        </is>
      </c>
      <c r="L3" s="5" t="inlineStr">
        <is>
          <t>Activity_Date</t>
        </is>
      </c>
      <c r="M3" s="5" t="inlineStr">
        <is>
          <t>lbs_Value</t>
        </is>
      </c>
      <c r="N3" s="5" t="inlineStr">
        <is>
          <t>Dollar_Value</t>
        </is>
      </c>
      <c r="O3" s="5" t="inlineStr">
        <is>
          <t>Disposition</t>
        </is>
      </c>
      <c r="P3" s="5" t="inlineStr">
        <is>
          <t>Food_Miles_Avg</t>
        </is>
      </c>
      <c r="Q3" s="5" t="inlineStr">
        <is>
          <t>Source_or_Recipient</t>
        </is>
      </c>
      <c r="R3" s="5" t="inlineStr">
        <is>
          <t>Notes</t>
        </is>
      </c>
    </row>
    <row r="4">
      <c r="A4" s="4" t="n">
        <v>1</v>
      </c>
      <c r="B4" s="4" t="inlineStr">
        <is>
          <t>Week 12 — waste diverted</t>
        </is>
      </c>
      <c r="C4" s="4" t="inlineStr">
        <is>
          <t>L. Reyes (Logistics)</t>
        </is>
      </c>
      <c r="D4" s="22" t="n">
        <v>46102</v>
      </c>
      <c r="E4" s="22" t="n">
        <v>46096</v>
      </c>
      <c r="F4" s="22" t="n">
        <v>46102</v>
      </c>
      <c r="G4" s="4" t="inlineStr">
        <is>
          <t>Sustainability</t>
        </is>
      </c>
      <c r="H4" s="4" t="inlineStr">
        <is>
          <t>Recovery-Waste</t>
        </is>
      </c>
      <c r="I4" s="4" t="inlineStr">
        <is>
          <t>Community-Based Org</t>
        </is>
      </c>
      <c r="J4" s="4" t="inlineStr">
        <is>
          <t>HARVEST Lead</t>
        </is>
      </c>
      <c r="K4" s="4" t="inlineStr">
        <is>
          <t>Food Waste Diverted</t>
        </is>
      </c>
      <c r="L4" s="22" t="n">
        <v>46102</v>
      </c>
      <c r="M4" s="23" t="n">
        <v>85</v>
      </c>
      <c r="N4" s="4" t="n"/>
      <c r="O4" s="4" t="inlineStr">
        <is>
          <t>Composted On-Site</t>
        </is>
      </c>
      <c r="P4" s="4" t="n"/>
      <c r="Q4" s="4" t="inlineStr">
        <is>
          <t>On-site compost bin</t>
        </is>
      </c>
      <c r="R4" s="4" t="n"/>
    </row>
    <row r="5">
      <c r="A5" s="4" t="n">
        <v>2</v>
      </c>
      <c r="B5" s="4" t="inlineStr">
        <is>
          <t>Open House — donation to Bridges</t>
        </is>
      </c>
      <c r="C5" s="4" t="inlineStr">
        <is>
          <t>J. Tran (Outreach)</t>
        </is>
      </c>
      <c r="D5" s="22" t="n">
        <v>46103</v>
      </c>
      <c r="E5" s="22" t="n">
        <v>46103</v>
      </c>
      <c r="F5" s="22" t="n">
        <v>46103</v>
      </c>
      <c r="G5" s="4" t="inlineStr">
        <is>
          <t>Sustainability; Access</t>
        </is>
      </c>
      <c r="H5" s="4" t="inlineStr">
        <is>
          <t>Recovery-Waste</t>
        </is>
      </c>
      <c r="I5" s="4" t="inlineStr">
        <is>
          <t>Community-Based Org</t>
        </is>
      </c>
      <c r="J5" s="4" t="inlineStr">
        <is>
          <t>HARVEST Lead</t>
        </is>
      </c>
      <c r="K5" s="4" t="inlineStr">
        <is>
          <t>Food Waste Diverted</t>
        </is>
      </c>
      <c r="L5" s="22" t="n">
        <v>46103</v>
      </c>
      <c r="M5" s="23" t="n">
        <v>24</v>
      </c>
      <c r="N5" s="4" t="n"/>
      <c r="O5" s="4" t="inlineStr">
        <is>
          <t>Donated</t>
        </is>
      </c>
      <c r="P5" s="4" t="n"/>
      <c r="Q5" s="4" t="inlineStr">
        <is>
          <t>Bridges</t>
        </is>
      </c>
      <c r="R5" s="4" t="n"/>
    </row>
    <row r="6">
      <c r="A6" s="4" t="n">
        <v>3</v>
      </c>
      <c r="B6" s="4" t="inlineStr">
        <is>
          <t>Teaching Kitchen — food captured</t>
        </is>
      </c>
      <c r="C6" s="4" t="inlineStr">
        <is>
          <t>M. Chen (Culinary)</t>
        </is>
      </c>
      <c r="D6" s="22" t="n">
        <v>46117</v>
      </c>
      <c r="E6" s="22" t="n">
        <v>46117</v>
      </c>
      <c r="F6" s="22" t="n">
        <v>46117</v>
      </c>
      <c r="G6" s="4" t="inlineStr">
        <is>
          <t>Sustainability; Utilization</t>
        </is>
      </c>
      <c r="H6" s="4" t="inlineStr">
        <is>
          <t>Recovery-Waste</t>
        </is>
      </c>
      <c r="I6" s="4" t="inlineStr">
        <is>
          <t>Healthcare</t>
        </is>
      </c>
      <c r="J6" s="4" t="inlineStr">
        <is>
          <t>HARVEST Lead</t>
        </is>
      </c>
      <c r="K6" s="4" t="inlineStr">
        <is>
          <t>Food Captured for Demo</t>
        </is>
      </c>
      <c r="L6" s="22" t="n">
        <v>46117</v>
      </c>
      <c r="M6" s="23" t="n">
        <v>12</v>
      </c>
      <c r="N6" s="23" t="n">
        <v>45</v>
      </c>
      <c r="O6" s="4" t="inlineStr">
        <is>
          <t>Used in Demo</t>
        </is>
      </c>
      <c r="P6" s="4" t="n"/>
      <c r="Q6" s="4" t="inlineStr">
        <is>
          <t>On-site demo kitchen</t>
        </is>
      </c>
      <c r="R6" s="4" t="inlineStr">
        <is>
          <t>Surplus produce from UAC delivery.</t>
        </is>
      </c>
    </row>
    <row r="7">
      <c r="A7" s="4" t="n">
        <v>4</v>
      </c>
      <c r="B7" s="4" t="inlineStr">
        <is>
          <t>Q1 food miles snapshot</t>
        </is>
      </c>
      <c r="C7" s="4" t="inlineStr">
        <is>
          <t>R. Owens (UAC)</t>
        </is>
      </c>
      <c r="D7" s="22" t="n">
        <v>46112</v>
      </c>
      <c r="E7" s="22" t="n">
        <v>46023</v>
      </c>
      <c r="F7" s="22" t="n">
        <v>46112</v>
      </c>
      <c r="G7" s="4" t="inlineStr">
        <is>
          <t>Sustainability</t>
        </is>
      </c>
      <c r="H7" s="4" t="inlineStr">
        <is>
          <t>Distribution</t>
        </is>
      </c>
      <c r="I7" s="4" t="inlineStr">
        <is>
          <t>Agriculture</t>
        </is>
      </c>
      <c r="J7" s="4" t="inlineStr">
        <is>
          <t>UAC Lead</t>
        </is>
      </c>
      <c r="K7" s="4" t="inlineStr">
        <is>
          <t>Food Miles Snapshot</t>
        </is>
      </c>
      <c r="L7" s="22" t="n">
        <v>46112</v>
      </c>
      <c r="M7" s="4" t="n"/>
      <c r="N7" s="4" t="n"/>
      <c r="O7" s="4" t="n"/>
      <c r="P7" s="4" t="n">
        <v>38.5</v>
      </c>
      <c r="Q7" s="4" t="inlineStr">
        <is>
          <t>Avg across all UAC farms</t>
        </is>
      </c>
      <c r="R7" s="4" t="n"/>
    </row>
  </sheetData>
  <mergeCells count="1">
    <mergeCell ref="A1:R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2026-05-21T16:28:20Z</dcterms:created>
  <dcterms:modified xsi:type="dcterms:W3CDTF">2026-05-21T16:28:20Z</dcterms:modified>
</cp:coreProperties>
</file>
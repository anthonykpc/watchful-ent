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KPI Catalog" sheetId="2" state="visible" r:id="rId2"/>
    <sheet name="2026 Performance Goals" sheetId="3" state="visible" r:id="rId3"/>
    <sheet name="Dashboard — Executive Summary" sheetId="4" state="visible" r:id="rId4"/>
    <sheet name="Dashboard — By OFSA Dimension" sheetId="5" state="visible" r:id="rId5"/>
    <sheet name="Dashboard — By Audience" sheetId="6" state="visible" r:id="rId6"/>
    <sheet name="Food Corridor Import" sheetId="7" state="visible" r:id="rId7"/>
    <sheet name="Data — Kitchen Ops" sheetId="8" state="visible" r:id="rId8"/>
    <sheet name="Data — Culinary" sheetId="9" state="visible" r:id="rId9"/>
    <sheet name="Data — Community Events" sheetId="10" state="visible" r:id="rId10"/>
    <sheet name="Data — Survey Responses" sheetId="11" state="visible" r:id="rId11"/>
    <sheet name="Data — Director" sheetId="12" state="visible" r:id="rId12"/>
    <sheet name="Data — Farm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1B3A2B"/>
      <sz val="11"/>
    </font>
    <font>
      <name val="Calibri"/>
      <b val="1"/>
      <color rgb="002D6A4F"/>
      <sz val="13"/>
    </font>
    <font>
      <name val="Calibri"/>
      <color rgb="001B3A2B"/>
      <sz val="11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2D6A4F"/>
      <sz val="10"/>
    </font>
    <font>
      <name val="Calibri"/>
      <b val="1"/>
      <color rgb="001B3A2B"/>
      <sz val="22"/>
    </font>
    <font>
      <name val="Calibri"/>
      <b val="1"/>
      <color rgb="001B3A2B"/>
      <sz val="16"/>
    </font>
    <font>
      <name val="Calibri"/>
      <b val="1"/>
      <color rgb="00FFFFFF"/>
      <sz val="14"/>
    </font>
    <font>
      <name val="Calibri"/>
      <b val="1"/>
      <color rgb="001B3A2B"/>
      <sz val="10"/>
    </font>
    <font>
      <name val="Calibri"/>
      <i val="1"/>
      <color rgb="001B3A2B"/>
      <sz val="10"/>
    </font>
  </fonts>
  <fills count="4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E8F3EC"/>
      </patternFill>
    </fill>
  </fills>
  <borders count="2">
    <border>
      <left/>
      <right/>
      <top/>
      <bottom/>
      <diagonal/>
    </border>
    <border>
      <left style="thin">
        <color rgb="00B7D9C2"/>
      </left>
      <right style="thin">
        <color rgb="00B7D9C2"/>
      </right>
      <top style="thin">
        <color rgb="00B7D9C2"/>
      </top>
      <bottom style="thin">
        <color rgb="00B7D9C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 indent="1"/>
    </xf>
    <xf numFmtId="0" fontId="4" fillId="0" borderId="0" applyAlignment="1" pivotButton="0" quotePrefix="0" xfId="0">
      <alignment vertical="center" wrapText="1"/>
    </xf>
    <xf numFmtId="9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7" fillId="3" borderId="0" applyAlignment="1" pivotButton="0" quotePrefix="0" xfId="0">
      <alignment horizontal="left" vertical="center" indent="1"/>
    </xf>
    <xf numFmtId="1" fontId="8" fillId="3" borderId="0" applyAlignment="1" pivotButton="0" quotePrefix="0" xfId="0">
      <alignment horizontal="left" vertical="center" indent="1"/>
    </xf>
    <xf numFmtId="164" fontId="8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5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2" borderId="0" pivotButton="0" quotePrefix="0" xfId="0"/>
    <xf numFmtId="0" fontId="11" fillId="3" borderId="0" pivotButton="0" quotePrefix="0" xfId="0"/>
    <xf numFmtId="0" fontId="6" fillId="2" borderId="0" pivotButton="0" quotePrefix="0" xfId="0"/>
    <xf numFmtId="0" fontId="2" fillId="0" borderId="0" pivotButton="0" quotePrefix="0" xfId="0"/>
    <xf numFmtId="165" fontId="4" fillId="0" borderId="0" pivotButton="0" quotePrefix="0" xfId="0"/>
    <xf numFmtId="0" fontId="4" fillId="0" borderId="0" pivotButton="0" quotePrefix="0" xfId="0"/>
    <xf numFmtId="0" fontId="12" fillId="0" borderId="0" applyAlignment="1" pivotButton="0" quotePrefix="0" xfId="0">
      <alignment vertical="center" wrapText="1"/>
    </xf>
    <xf numFmtId="165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bl_KPI_Catalog" displayName="tbl_KPI_Catalog" ref="A1:N49" headerRowCount="1">
  <autoFilter ref="A1:N49"/>
  <tableColumns count="14">
    <tableColumn id="1" name="KPI"/>
    <tableColumn id="2" name="Definition"/>
    <tableColumn id="3" name="Unit"/>
    <tableColumn id="4" name="Audience"/>
    <tableColumn id="5" name="OFSA Dimension(s)"/>
    <tableColumn id="6" name="Food System Sector"/>
    <tableColumn id="7" name="Partner Sector"/>
    <tableColumn id="8" name="Cadence"/>
    <tableColumn id="9" name="Lead Role"/>
    <tableColumn id="10" name="Data Source"/>
    <tableColumn id="11" name="2026 Target"/>
    <tableColumn id="12" name="Owner Role"/>
    <tableColumn id="13" name="Source Log"/>
    <tableColumn id="14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FoodCorridor" displayName="tbl_FoodCorridor" ref="A13:C20" headerRowCount="1">
  <autoFilter ref="A13:C20"/>
  <tableColumns count="3">
    <tableColumn id="1" name="Booking_Date"/>
    <tableColumn id="2" name="Member_Business"/>
    <tableColumn id="3" name="Hou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KitchenOps" displayName="tbl_KitchenOps" ref="A3:O6" headerRowCount="1">
  <autoFilter ref="A3:O6"/>
  <tableColumns count="15">
    <tableColumn id="1" name="Date"/>
    <tableColumn id="2" name="Reporting_Week_Start"/>
    <tableColumn id="3" name="Reporting_Week_End"/>
    <tableColumn id="4" name="Entry_Type"/>
    <tableColumn id="5" name="Active_Members"/>
    <tableColumn id="6" name="New_Members"/>
    <tableColumn id="7" name="New_Member_Business"/>
    <tableColumn id="8" name="New_Member_Demographics"/>
    <tableColumn id="9" name="Equipment_Status"/>
    <tableColumn id="10" name="Equipment_Notes"/>
    <tableColumn id="11" name="Incident_Type"/>
    <tableColumn id="12" name="Incident_Description"/>
    <tableColumn id="13" name="Food_Waste_Diverted_lbs"/>
    <tableColumn id="14" name="Composted_lbs"/>
    <tableColumn id="15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ulinary" displayName="tbl_Culinary" ref="A3:P7" headerRowCount="1">
  <autoFilter ref="A3:P7"/>
  <tableColumns count="16">
    <tableColumn id="1" name="Date"/>
    <tableColumn id="2" name="Event_Type"/>
    <tableColumn id="3" name="Event_Title"/>
    <tableColumn id="4" name="Curriculum"/>
    <tableColumn id="5" name="Duration_Hours"/>
    <tableColumn id="6" name="Attendance_Count"/>
    <tableColumn id="7" name="Businesses_Present"/>
    <tableColumn id="8" name="ServSafe_Passed"/>
    <tableColumn id="9" name="ServSafe_Attempted"/>
    <tableColumn id="10" name="TA_Topic"/>
    <tableColumn id="11" name="TA_Recipient_Business"/>
    <tableColumn id="12" name="Wellness_Coaching_Recipient"/>
    <tableColumn id="13" name="RD_InKind_Hours"/>
    <tableColumn id="14" name="Food_Captured_Demo_lbs"/>
    <tableColumn id="15" name="Food_Captured_Demo_$"/>
    <tableColumn id="1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CommunityEvents" displayName="tbl_CommunityEvents" ref="A3:M6" headerRowCount="1">
  <autoFilter ref="A3:M6"/>
  <tableColumns count="13">
    <tableColumn id="1" name="Date"/>
    <tableColumn id="2" name="Event_Name"/>
    <tableColumn id="3" name="Event_Type"/>
    <tableColumn id="4" name="Attendance_Count"/>
    <tableColumn id="5" name="Volunteer_Hours"/>
    <tableColumn id="6" name="Orgs_Engaged"/>
    <tableColumn id="7" name="Sector_Count"/>
    <tableColumn id="8" name="Multilingual_Cultural"/>
    <tableColumn id="9" name="Language_Tradition"/>
    <tableColumn id="10" name="Food_Recovery_lbs"/>
    <tableColumn id="11" name="Food_Recovery_Recipient"/>
    <tableColumn id="12" name="DSP_Onsite"/>
    <tableColumn id="13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SurveyResponses" displayName="tbl_SurveyResponses" ref="A3:G11" headerRowCount="1">
  <autoFilter ref="A3:G11"/>
  <tableColumns count="7">
    <tableColumn id="1" name="Date"/>
    <tableColumn id="2" name="Event_Name"/>
    <tableColumn id="3" name="Survey_Instrument"/>
    <tableColumn id="4" name="Question_Text"/>
    <tableColumn id="5" name="Response_Text"/>
    <tableColumn id="6" name="Numeric_Score"/>
    <tableColumn id="7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Director" displayName="tbl_Director" ref="A3:O12" headerRowCount="1">
  <autoFilter ref="A3:O12"/>
  <tableColumns count="15">
    <tableColumn id="1" name="Date"/>
    <tableColumn id="2" name="Entry_Type"/>
    <tableColumn id="3" name="Name"/>
    <tableColumn id="4" name="Amount_$"/>
    <tableColumn id="5" name="Period_Start"/>
    <tableColumn id="6" name="Period_End"/>
    <tableColumn id="7" name="Institution_Type"/>
    <tableColumn id="8" name="Items_On_Menu"/>
    <tableColumn id="9" name="CAB_Member_Name"/>
    <tableColumn id="10" name="CAB_Member_Sector"/>
    <tableColumn id="11" name="PD_Activity"/>
    <tableColumn id="12" name="Earned_Revenue_%"/>
    <tableColumn id="13" name="Avg_Sales_Increase_%"/>
    <tableColumn id="14" name="Status"/>
    <tableColumn id="15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Farmers" displayName="tbl_Farmers" ref="A3:Q7" headerRowCount="1">
  <autoFilter ref="A3:Q7"/>
  <tableColumns count="17">
    <tableColumn id="1" name="Date"/>
    <tableColumn id="2" name="Reporting_Month"/>
    <tableColumn id="3" name="Entered_By"/>
    <tableColumn id="4" name="Farm_Name"/>
    <tableColumn id="5" name="Farm_Location"/>
    <tableColumn id="6" name="Farm_Contact"/>
    <tableColumn id="7" name="Produce_Types"/>
    <tableColumn id="8" name="Produce_lbs"/>
    <tableColumn id="9" name="Produce_Value_$"/>
    <tableColumn id="10" name="Origin_Region"/>
    <tableColumn id="11" name="Distribution_Destinations"/>
    <tableColumn id="12" name="Value_Added_Product"/>
    <tableColumn id="13" name="Value_Added_Description"/>
    <tableColumn id="14" name="Demographic_Race_Ethnicity"/>
    <tableColumn id="15" name="Demographic_Gender"/>
    <tableColumn id="16" name="Demographic_Age_Band"/>
    <tableColumn id="1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 ht="38" customHeight="1">
      <c r="B2" s="1" t="inlineStr">
        <is>
          <t>HARVEST Food Hub — KPI Master Workbook</t>
        </is>
      </c>
    </row>
    <row r="3" ht="22" customHeight="1">
      <c r="B3" s="2" t="inlineStr">
        <is>
          <t>Real-time KPI tracking across all audiences, tagged to the OFSA Six Dimensions. Pulls from individual staff log workbooks via Power Query.</t>
        </is>
      </c>
    </row>
    <row r="5" ht="22" customHeight="1">
      <c r="B5" s="3" t="inlineStr">
        <is>
          <t>Open the right tab first</t>
        </is>
      </c>
    </row>
    <row r="6" ht="72" customHeight="1">
      <c r="B6" s="4" t="inlineStr">
        <is>
          <t>- JSC meeting? Open '2026 Performance Goals' + 'Dashboard — Executive Summary'.
- OFSA logic model? Open 'Dashboard — By OFSA Dimension'.
- Funder report? Open 'Dashboard — By Audience' and filter.
- What does a metric mean? Open 'KPI Catalog'.</t>
        </is>
      </c>
    </row>
    <row r="8" ht="22" customHeight="1">
      <c r="B8" s="3" t="inlineStr">
        <is>
          <t>Refresh the data</t>
        </is>
      </c>
    </row>
    <row r="9" ht="72" customHeight="1">
      <c r="B9" s="4" t="inlineStr">
        <is>
          <t>1. Click the 'Data' tab in the Excel ribbon.
2. Click 'Refresh All'.
3. Wait for spinning to stop (~10-30 seconds).
Power Query pulls from the five log workbooks in the logs/ folder.</t>
        </is>
      </c>
    </row>
    <row r="11" ht="22" customHeight="1">
      <c r="B11" s="3" t="inlineStr">
        <is>
          <t>Loading Food Corridor data</t>
        </is>
      </c>
    </row>
    <row r="12" ht="72" customHeight="1">
      <c r="B12" s="4" t="inlineStr">
        <is>
          <t>1. Export the kitchen rentals CSV from Food Corridor.
2. Open the 'Food Corridor Import' tab.
3. Paste or refresh the CSV data.
4. Hit 'Refresh All'. Kitchen hours KPI updates.</t>
        </is>
      </c>
    </row>
    <row r="14" ht="22" customHeight="1">
      <c r="B14" s="3" t="inlineStr">
        <is>
          <t>How it works</t>
        </is>
      </c>
    </row>
    <row r="15" ht="144" customHeight="1">
      <c r="B15" s="4" t="inlineStr">
        <is>
          <t>Each staff member has their own Excel log workbook:
  - Kitchen_Operations_Log.xlsx (Logistics Manager, weekly)
  - Culinary_Training_Log.xlsx (Culinary Manager, per event)
  - Community_Engagement_Log.xlsx (Community Outreach, per event)
  - Director_Partnership_Log.xlsx (Director, monthly + event)
  - UAC_Farmer_Engagement_Log.xlsx (Director enters for UAC, monthly)
Staff open their log, add rows, save. This workbook reads from all five.</t>
        </is>
      </c>
    </row>
    <row r="17" ht="22" customHeight="1">
      <c r="B17" s="3" t="inlineStr">
        <is>
          <t>What's NOT here</t>
        </is>
      </c>
    </row>
    <row r="18" ht="54" customHeight="1">
      <c r="B18" s="4" t="inlineStr">
        <is>
          <t>- SOPs / structural documentation (Goal 2) — tracked in shared drive.
- Patient-level health data — out of scope.
- Power BI — Excel is v1; Power BI is a later phase.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8" customWidth="1" min="3" max="3"/>
    <col width="22" customWidth="1" min="4" max="4"/>
    <col width="26" customWidth="1" min="5" max="5"/>
    <col width="22" customWidth="1" min="6" max="6"/>
    <col width="22" customWidth="1" min="7" max="7"/>
    <col width="12" customWidth="1" min="8" max="8"/>
    <col width="14" customWidth="1" min="9" max="9"/>
    <col width="22" customWidth="1" min="10" max="10"/>
    <col width="12" customWidth="1" min="11" max="11"/>
    <col width="26" customWidth="1" min="12" max="12"/>
    <col width="28" customWidth="1" min="13" max="13"/>
    <col width="22" customWidth="1" min="14" max="14"/>
  </cols>
  <sheetData>
    <row r="1" ht="32" customHeight="1">
      <c r="A1" s="5" t="inlineStr">
        <is>
          <t>KPI</t>
        </is>
      </c>
      <c r="B1" s="5" t="inlineStr">
        <is>
          <t>Definition</t>
        </is>
      </c>
      <c r="C1" s="5" t="inlineStr">
        <is>
          <t>Unit</t>
        </is>
      </c>
      <c r="D1" s="5" t="inlineStr">
        <is>
          <t>Audience</t>
        </is>
      </c>
      <c r="E1" s="5" t="inlineStr">
        <is>
          <t>OFSA Dimension(s)</t>
        </is>
      </c>
      <c r="F1" s="5" t="inlineStr">
        <is>
          <t>Food System Sector</t>
        </is>
      </c>
      <c r="G1" s="5" t="inlineStr">
        <is>
          <t>Partner Sector</t>
        </is>
      </c>
      <c r="H1" s="5" t="inlineStr">
        <is>
          <t>Cadence</t>
        </is>
      </c>
      <c r="I1" s="5" t="inlineStr">
        <is>
          <t>Lead Role</t>
        </is>
      </c>
      <c r="J1" s="5" t="inlineStr">
        <is>
          <t>Data Source</t>
        </is>
      </c>
      <c r="K1" s="5" t="inlineStr">
        <is>
          <t>2026 Target</t>
        </is>
      </c>
      <c r="L1" s="5" t="inlineStr">
        <is>
          <t>Owner Role</t>
        </is>
      </c>
      <c r="M1" s="5" t="inlineStr">
        <is>
          <t>Source Log</t>
        </is>
      </c>
      <c r="N1" s="5" t="inlineStr">
        <is>
          <t>Status</t>
        </is>
      </c>
    </row>
    <row r="2">
      <c r="A2" s="4" t="inlineStr">
        <is>
          <t>Entrepreneurs engaged</t>
        </is>
      </c>
      <c r="B2" s="4" t="inlineStr">
        <is>
          <t>Unique individuals reached via outreach, intake, or info session</t>
        </is>
      </c>
      <c r="C2" s="4" t="inlineStr">
        <is>
          <t>count</t>
        </is>
      </c>
      <c r="D2" s="4" t="inlineStr">
        <is>
          <t>Food Entrepreneurs</t>
        </is>
      </c>
      <c r="E2" s="4" t="inlineStr">
        <is>
          <t>Agency</t>
        </is>
      </c>
      <c r="F2" s="4" t="inlineStr">
        <is>
          <t>Processing</t>
        </is>
      </c>
      <c r="G2" s="4" t="inlineStr">
        <is>
          <t>Food Enterprise</t>
        </is>
      </c>
      <c r="H2" s="4" t="inlineStr">
        <is>
          <t>Monthly</t>
        </is>
      </c>
      <c r="I2" s="4" t="inlineStr">
        <is>
          <t>HARVEST Lead</t>
        </is>
      </c>
      <c r="J2" s="4" t="inlineStr">
        <is>
          <t>Community Engagement Log</t>
        </is>
      </c>
      <c r="K2" s="4" t="n">
        <v>40</v>
      </c>
      <c r="L2" s="4" t="inlineStr">
        <is>
          <t>Community Outreach Specialist</t>
        </is>
      </c>
      <c r="M2" s="4" t="inlineStr">
        <is>
          <t>Community_Engagement_Log.xlsx</t>
        </is>
      </c>
      <c r="N2" s="4" t="inlineStr">
        <is>
          <t>Active</t>
        </is>
      </c>
    </row>
    <row r="3">
      <c r="A3" s="4" t="inlineStr">
        <is>
          <t>Entrepreneurs converted to renting members</t>
        </is>
      </c>
      <c r="B3" s="4" t="inlineStr">
        <is>
          <t>Engaged entrepreneurs who signed a kitchen rental agreement</t>
        </is>
      </c>
      <c r="C3" s="4" t="inlineStr">
        <is>
          <t>count</t>
        </is>
      </c>
      <c r="D3" s="4" t="inlineStr">
        <is>
          <t>Food Entrepreneurs</t>
        </is>
      </c>
      <c r="E3" s="4" t="inlineStr">
        <is>
          <t>Agency; Availability</t>
        </is>
      </c>
      <c r="F3" s="4" t="inlineStr">
        <is>
          <t>Processing</t>
        </is>
      </c>
      <c r="G3" s="4" t="inlineStr">
        <is>
          <t>Food Enterprise</t>
        </is>
      </c>
      <c r="H3" s="4" t="inlineStr">
        <is>
          <t>Monthly</t>
        </is>
      </c>
      <c r="I3" s="4" t="inlineStr">
        <is>
          <t>HARVEST Lead</t>
        </is>
      </c>
      <c r="J3" s="4" t="inlineStr">
        <is>
          <t>Kitchen Operations Log</t>
        </is>
      </c>
      <c r="K3" s="4" t="n">
        <v>8</v>
      </c>
      <c r="L3" s="4" t="inlineStr">
        <is>
          <t>Logistics Manager</t>
        </is>
      </c>
      <c r="M3" s="4" t="inlineStr">
        <is>
          <t>Kitchen_Operations_Log.xlsx</t>
        </is>
      </c>
      <c r="N3" s="4" t="inlineStr">
        <is>
          <t>Active</t>
        </is>
      </c>
    </row>
    <row r="4">
      <c r="A4" s="4" t="inlineStr">
        <is>
          <t>% members achieving ServSafe</t>
        </is>
      </c>
      <c r="B4" s="4" t="inlineStr">
        <is>
          <t>Members who pass ServSafe via HARVEST</t>
        </is>
      </c>
      <c r="C4" s="4" t="inlineStr">
        <is>
          <t>%</t>
        </is>
      </c>
      <c r="D4" s="4" t="inlineStr">
        <is>
          <t>Food Entrepreneurs</t>
        </is>
      </c>
      <c r="E4" s="4" t="inlineStr">
        <is>
          <t>Utilization</t>
        </is>
      </c>
      <c r="F4" s="4" t="inlineStr">
        <is>
          <t>Processing</t>
        </is>
      </c>
      <c r="G4" s="4" t="inlineStr">
        <is>
          <t>Food Enterprise</t>
        </is>
      </c>
      <c r="H4" s="4" t="inlineStr">
        <is>
          <t>Per training</t>
        </is>
      </c>
      <c r="I4" s="4" t="inlineStr">
        <is>
          <t>HARVEST Lead</t>
        </is>
      </c>
      <c r="J4" s="4" t="inlineStr">
        <is>
          <t>Culinary &amp; Training Log</t>
        </is>
      </c>
      <c r="K4" s="4" t="n">
        <v>100</v>
      </c>
      <c r="L4" s="4" t="inlineStr">
        <is>
          <t>Culinary Manager</t>
        </is>
      </c>
      <c r="M4" s="4" t="inlineStr">
        <is>
          <t>Culinary_Training_Log.xlsx</t>
        </is>
      </c>
      <c r="N4" s="4" t="inlineStr">
        <is>
          <t>Active</t>
        </is>
      </c>
    </row>
    <row r="5">
      <c r="A5" s="4" t="inlineStr">
        <is>
          <t>Avg % sales increase for members</t>
        </is>
      </c>
      <c r="B5" s="4" t="inlineStr">
        <is>
          <t>YoY revenue change for members in kitchen &gt;=6 months</t>
        </is>
      </c>
      <c r="C5" s="4" t="inlineStr">
        <is>
          <t>%</t>
        </is>
      </c>
      <c r="D5" s="4" t="inlineStr">
        <is>
          <t>Food Entrepreneurs</t>
        </is>
      </c>
      <c r="E5" s="4" t="inlineStr">
        <is>
          <t>Stability; Agency</t>
        </is>
      </c>
      <c r="F5" s="4" t="inlineStr">
        <is>
          <t>Processing</t>
        </is>
      </c>
      <c r="G5" s="4" t="inlineStr">
        <is>
          <t>Food Enterprise</t>
        </is>
      </c>
      <c r="H5" s="4" t="inlineStr">
        <is>
          <t>Quarterly</t>
        </is>
      </c>
      <c r="I5" s="4" t="inlineStr">
        <is>
          <t>HARVEST Lead</t>
        </is>
      </c>
      <c r="J5" s="4" t="inlineStr">
        <is>
          <t>Director &amp; Partnership Log</t>
        </is>
      </c>
      <c r="K5" s="4" t="n"/>
      <c r="L5" s="4" t="inlineStr">
        <is>
          <t>Director</t>
        </is>
      </c>
      <c r="M5" s="4" t="inlineStr">
        <is>
          <t>Director_Partnership_Log.xlsx</t>
        </is>
      </c>
      <c r="N5" s="4" t="inlineStr">
        <is>
          <t>Active</t>
        </is>
      </c>
    </row>
    <row r="6">
      <c r="A6" s="4" t="inlineStr">
        <is>
          <t>Businesses supported</t>
        </is>
      </c>
      <c r="B6" s="4" t="inlineStr">
        <is>
          <t>Distinct member businesses receiving any HARVEST service</t>
        </is>
      </c>
      <c r="C6" s="4" t="inlineStr">
        <is>
          <t>count</t>
        </is>
      </c>
      <c r="D6" s="4" t="inlineStr">
        <is>
          <t>Food Entrepreneurs</t>
        </is>
      </c>
      <c r="E6" s="4" t="inlineStr">
        <is>
          <t>Agency</t>
        </is>
      </c>
      <c r="F6" s="4" t="inlineStr">
        <is>
          <t>Processing</t>
        </is>
      </c>
      <c r="G6" s="4" t="inlineStr">
        <is>
          <t>Food Enterprise</t>
        </is>
      </c>
      <c r="H6" s="4" t="inlineStr">
        <is>
          <t>Monthly</t>
        </is>
      </c>
      <c r="I6" s="4" t="inlineStr">
        <is>
          <t>HARVEST Lead</t>
        </is>
      </c>
      <c r="J6" s="4" t="inlineStr">
        <is>
          <t>System-calculated</t>
        </is>
      </c>
      <c r="K6" s="4" t="n">
        <v>8</v>
      </c>
      <c r="L6" s="4" t="inlineStr">
        <is>
          <t>Director</t>
        </is>
      </c>
      <c r="M6" s="4" t="inlineStr">
        <is>
          <t>Multiple logs</t>
        </is>
      </c>
      <c r="N6" s="4" t="inlineStr">
        <is>
          <t>Active</t>
        </is>
      </c>
    </row>
    <row r="7">
      <c r="A7" s="4" t="inlineStr">
        <is>
          <t>Workforce dev seminars held</t>
        </is>
      </c>
      <c r="B7" s="4" t="inlineStr">
        <is>
          <t>Seminars on business building, food safety, marketing, capital</t>
        </is>
      </c>
      <c r="C7" s="4" t="inlineStr">
        <is>
          <t>count</t>
        </is>
      </c>
      <c r="D7" s="4" t="inlineStr">
        <is>
          <t>Food Entrepreneurs</t>
        </is>
      </c>
      <c r="E7" s="4" t="inlineStr">
        <is>
          <t>Utilization; Agency</t>
        </is>
      </c>
      <c r="F7" s="4" t="inlineStr">
        <is>
          <t>Processing</t>
        </is>
      </c>
      <c r="G7" s="4" t="inlineStr">
        <is>
          <t>Education</t>
        </is>
      </c>
      <c r="H7" s="4" t="inlineStr">
        <is>
          <t>Per event</t>
        </is>
      </c>
      <c r="I7" s="4" t="inlineStr">
        <is>
          <t>HARVEST Lead</t>
        </is>
      </c>
      <c r="J7" s="4" t="inlineStr">
        <is>
          <t>Culinary &amp; Training Log</t>
        </is>
      </c>
      <c r="K7" s="4" t="n">
        <v>6</v>
      </c>
      <c r="L7" s="4" t="inlineStr">
        <is>
          <t>Culinary Manager</t>
        </is>
      </c>
      <c r="M7" s="4" t="inlineStr">
        <is>
          <t>Culinary_Training_Log.xlsx</t>
        </is>
      </c>
      <c r="N7" s="4" t="inlineStr">
        <is>
          <t>Active</t>
        </is>
      </c>
    </row>
    <row r="8">
      <c r="A8" s="4" t="inlineStr">
        <is>
          <t>Kitchen hours rented</t>
        </is>
      </c>
      <c r="B8" s="4" t="inlineStr">
        <is>
          <t>Total billable kitchen hours in the period</t>
        </is>
      </c>
      <c r="C8" s="4" t="inlineStr">
        <is>
          <t>hours</t>
        </is>
      </c>
      <c r="D8" s="4" t="inlineStr">
        <is>
          <t>Food Entrepreneurs</t>
        </is>
      </c>
      <c r="E8" s="4" t="inlineStr">
        <is>
          <t>Availability; Stability</t>
        </is>
      </c>
      <c r="F8" s="4" t="inlineStr">
        <is>
          <t>Processing</t>
        </is>
      </c>
      <c r="G8" s="4" t="inlineStr">
        <is>
          <t>Food Enterprise</t>
        </is>
      </c>
      <c r="H8" s="4" t="inlineStr">
        <is>
          <t>Real-time</t>
        </is>
      </c>
      <c r="I8" s="4" t="inlineStr">
        <is>
          <t>HARVEST Lead</t>
        </is>
      </c>
      <c r="J8" s="4" t="inlineStr">
        <is>
          <t>Food Corridor CSV</t>
        </is>
      </c>
      <c r="K8" s="4" t="n">
        <v>1500</v>
      </c>
      <c r="L8" s="4" t="inlineStr">
        <is>
          <t>Logistics Manager</t>
        </is>
      </c>
      <c r="M8" s="4" t="inlineStr">
        <is>
          <t>Food Corridor CSV</t>
        </is>
      </c>
      <c r="N8" s="4" t="inlineStr">
        <is>
          <t>Active</t>
        </is>
      </c>
    </row>
    <row r="9">
      <c r="A9" s="4" t="inlineStr">
        <is>
          <t>Jobs created by member businesses</t>
        </is>
      </c>
      <c r="B9" s="4" t="inlineStr">
        <is>
          <t>FTEs and PTEs hired (self-reported)</t>
        </is>
      </c>
      <c r="C9" s="4" t="inlineStr">
        <is>
          <t>count</t>
        </is>
      </c>
      <c r="D9" s="4" t="inlineStr">
        <is>
          <t>Food Entrepreneurs</t>
        </is>
      </c>
      <c r="E9" s="4" t="inlineStr">
        <is>
          <t>Stability; Agency</t>
        </is>
      </c>
      <c r="F9" s="4" t="inlineStr">
        <is>
          <t>Processing</t>
        </is>
      </c>
      <c r="G9" s="4" t="inlineStr">
        <is>
          <t>Food Enterprise</t>
        </is>
      </c>
      <c r="H9" s="4" t="inlineStr">
        <is>
          <t>Quarterly</t>
        </is>
      </c>
      <c r="I9" s="4" t="inlineStr">
        <is>
          <t>HARVEST Lead</t>
        </is>
      </c>
      <c r="J9" s="4" t="inlineStr">
        <is>
          <t>Director &amp; Partnership Log</t>
        </is>
      </c>
      <c r="K9" s="4" t="n"/>
      <c r="L9" s="4" t="inlineStr">
        <is>
          <t>Director</t>
        </is>
      </c>
      <c r="M9" s="4" t="inlineStr">
        <is>
          <t>Director_Partnership_Log.xlsx</t>
        </is>
      </c>
      <c r="N9" s="4" t="inlineStr">
        <is>
          <t>Active</t>
        </is>
      </c>
    </row>
    <row r="10">
      <c r="A10" s="4" t="inlineStr">
        <is>
          <t>Businesses buying local produce via UAC</t>
        </is>
      </c>
      <c r="B10" s="4" t="inlineStr">
        <is>
          <t>Members sourcing produce from UAC channels</t>
        </is>
      </c>
      <c r="C10" s="4" t="inlineStr">
        <is>
          <t>count</t>
        </is>
      </c>
      <c r="D10" s="4" t="inlineStr">
        <is>
          <t>Food Entrepreneurs</t>
        </is>
      </c>
      <c r="E10" s="4" t="inlineStr">
        <is>
          <t>Access; Sustainability</t>
        </is>
      </c>
      <c r="F10" s="4" t="inlineStr">
        <is>
          <t>Aggregation</t>
        </is>
      </c>
      <c r="G10" s="4" t="inlineStr">
        <is>
          <t>Agriculture</t>
        </is>
      </c>
      <c r="H10" s="4" t="inlineStr">
        <is>
          <t>Monthly</t>
        </is>
      </c>
      <c r="I10" s="4" t="inlineStr">
        <is>
          <t>Joint</t>
        </is>
      </c>
      <c r="J10" s="4" t="inlineStr">
        <is>
          <t>UAC Farmer Engagement Log</t>
        </is>
      </c>
      <c r="K10" s="4" t="n">
        <v>3</v>
      </c>
      <c r="L10" s="4" t="inlineStr">
        <is>
          <t>Director</t>
        </is>
      </c>
      <c r="M10" s="4" t="inlineStr">
        <is>
          <t>UAC_Farmer_Engagement_Log.xlsx</t>
        </is>
      </c>
      <c r="N10" s="4" t="inlineStr">
        <is>
          <t>Active</t>
        </is>
      </c>
    </row>
    <row r="11">
      <c r="A11" s="4" t="inlineStr">
        <is>
          <t>Events showcasing local entrepreneurs</t>
        </is>
      </c>
      <c r="B11" s="4" t="inlineStr">
        <is>
          <t>Public events featuring member businesses</t>
        </is>
      </c>
      <c r="C11" s="4" t="inlineStr">
        <is>
          <t>count</t>
        </is>
      </c>
      <c r="D11" s="4" t="inlineStr">
        <is>
          <t>Food Entrepreneurs</t>
        </is>
      </c>
      <c r="E11" s="4" t="inlineStr">
        <is>
          <t>Agency</t>
        </is>
      </c>
      <c r="F11" s="4" t="inlineStr">
        <is>
          <t>Retail-Consumption</t>
        </is>
      </c>
      <c r="G11" s="4" t="inlineStr">
        <is>
          <t>Food Enterprise</t>
        </is>
      </c>
      <c r="H11" s="4" t="inlineStr">
        <is>
          <t>Per event</t>
        </is>
      </c>
      <c r="I11" s="4" t="inlineStr">
        <is>
          <t>HARVEST Lead</t>
        </is>
      </c>
      <c r="J11" s="4" t="inlineStr">
        <is>
          <t>Community Engagement Log</t>
        </is>
      </c>
      <c r="K11" s="4" t="n">
        <v>4</v>
      </c>
      <c r="L11" s="4" t="inlineStr">
        <is>
          <t>Community Outreach Specialist</t>
        </is>
      </c>
      <c r="M11" s="4" t="inlineStr">
        <is>
          <t>Community_Engagement_Log.xlsx</t>
        </is>
      </c>
      <c r="N11" s="4" t="inlineStr">
        <is>
          <t>Active</t>
        </is>
      </c>
    </row>
    <row r="12">
      <c r="A12" s="4" t="inlineStr">
        <is>
          <t>Technical assistance sessions</t>
        </is>
      </c>
      <c r="B12" s="4" t="inlineStr">
        <is>
          <t>1:1 sessions for business building, capital, marketing</t>
        </is>
      </c>
      <c r="C12" s="4" t="inlineStr">
        <is>
          <t>count</t>
        </is>
      </c>
      <c r="D12" s="4" t="inlineStr">
        <is>
          <t>Food Entrepreneurs</t>
        </is>
      </c>
      <c r="E12" s="4" t="inlineStr">
        <is>
          <t>Utilization; Agency</t>
        </is>
      </c>
      <c r="F12" s="4" t="inlineStr">
        <is>
          <t>Processing</t>
        </is>
      </c>
      <c r="G12" s="4" t="inlineStr">
        <is>
          <t>Food Enterprise</t>
        </is>
      </c>
      <c r="H12" s="4" t="inlineStr">
        <is>
          <t>Per session</t>
        </is>
      </c>
      <c r="I12" s="4" t="inlineStr">
        <is>
          <t>HARVEST Lead</t>
        </is>
      </c>
      <c r="J12" s="4" t="inlineStr">
        <is>
          <t>Culinary &amp; Training Log</t>
        </is>
      </c>
      <c r="K12" s="4" t="n">
        <v>30</v>
      </c>
      <c r="L12" s="4" t="inlineStr">
        <is>
          <t>Culinary Manager</t>
        </is>
      </c>
      <c r="M12" s="4" t="inlineStr">
        <is>
          <t>Culinary_Training_Log.xlsx</t>
        </is>
      </c>
      <c r="N12" s="4" t="inlineStr">
        <is>
          <t>Active</t>
        </is>
      </c>
    </row>
    <row r="13">
      <c r="A13" s="4" t="inlineStr">
        <is>
          <t>Businesses receiving wellness coaching</t>
        </is>
      </c>
      <c r="B13" s="4" t="inlineStr">
        <is>
          <t>Member businesses in wellness/nutrition coaching</t>
        </is>
      </c>
      <c r="C13" s="4" t="inlineStr">
        <is>
          <t>count</t>
        </is>
      </c>
      <c r="D13" s="4" t="inlineStr">
        <is>
          <t>Food Entrepreneurs</t>
        </is>
      </c>
      <c r="E13" s="4" t="inlineStr">
        <is>
          <t>Utilization</t>
        </is>
      </c>
      <c r="F13" s="4" t="inlineStr">
        <is>
          <t>Processing</t>
        </is>
      </c>
      <c r="G13" s="4" t="inlineStr">
        <is>
          <t>Healthcare</t>
        </is>
      </c>
      <c r="H13" s="4" t="inlineStr">
        <is>
          <t>Per session</t>
        </is>
      </c>
      <c r="I13" s="4" t="inlineStr">
        <is>
          <t>HARVEST Lead</t>
        </is>
      </c>
      <c r="J13" s="4" t="inlineStr">
        <is>
          <t>Culinary &amp; Training Log</t>
        </is>
      </c>
      <c r="K13" s="4" t="n"/>
      <c r="L13" s="4" t="inlineStr">
        <is>
          <t>Culinary Manager</t>
        </is>
      </c>
      <c r="M13" s="4" t="inlineStr">
        <is>
          <t>Culinary_Training_Log.xlsx</t>
        </is>
      </c>
      <c r="N13" s="4" t="inlineStr">
        <is>
          <t>Active</t>
        </is>
      </c>
    </row>
    <row r="14">
      <c r="A14" s="4" t="inlineStr">
        <is>
          <t>$ purchasing orders from HARVEST/UAC vendors</t>
        </is>
      </c>
      <c r="B14" s="4" t="inlineStr">
        <is>
          <t>Total $ value of POs by institutions</t>
        </is>
      </c>
      <c r="C14" s="4" t="inlineStr">
        <is>
          <t>$</t>
        </is>
      </c>
      <c r="D14" s="4" t="inlineStr">
        <is>
          <t>Institution</t>
        </is>
      </c>
      <c r="E14" s="4" t="inlineStr">
        <is>
          <t>Access; Availability</t>
        </is>
      </c>
      <c r="F14" s="4" t="inlineStr">
        <is>
          <t>Distribution</t>
        </is>
      </c>
      <c r="G14" s="4" t="inlineStr">
        <is>
          <t>Healthcare</t>
        </is>
      </c>
      <c r="H14" s="4" t="inlineStr">
        <is>
          <t>Monthly</t>
        </is>
      </c>
      <c r="I14" s="4" t="inlineStr">
        <is>
          <t>Joint</t>
        </is>
      </c>
      <c r="J14" s="4" t="inlineStr">
        <is>
          <t>Director &amp; Partnership Log</t>
        </is>
      </c>
      <c r="K14" s="4" t="n"/>
      <c r="L14" s="4" t="inlineStr">
        <is>
          <t>Director</t>
        </is>
      </c>
      <c r="M14" s="4" t="inlineStr">
        <is>
          <t>Director_Partnership_Log.xlsx</t>
        </is>
      </c>
      <c r="N14" s="4" t="inlineStr">
        <is>
          <t>Active</t>
        </is>
      </c>
    </row>
    <row r="15">
      <c r="A15" s="4" t="inlineStr">
        <is>
          <t>HARVEST-produced items on institutional menus</t>
        </is>
      </c>
      <c r="B15" s="4" t="inlineStr">
        <is>
          <t>Distinct items on institutional menus</t>
        </is>
      </c>
      <c r="C15" s="4" t="inlineStr">
        <is>
          <t>count</t>
        </is>
      </c>
      <c r="D15" s="4" t="inlineStr">
        <is>
          <t>Institution</t>
        </is>
      </c>
      <c r="E15" s="4" t="inlineStr">
        <is>
          <t>Access; Availability</t>
        </is>
      </c>
      <c r="F15" s="4" t="inlineStr">
        <is>
          <t>Retail-Consumption</t>
        </is>
      </c>
      <c r="G15" s="4" t="inlineStr">
        <is>
          <t>Healthcare</t>
        </is>
      </c>
      <c r="H15" s="4" t="inlineStr">
        <is>
          <t>Quarterly</t>
        </is>
      </c>
      <c r="I15" s="4" t="inlineStr">
        <is>
          <t>HARVEST Lead</t>
        </is>
      </c>
      <c r="J15" s="4" t="inlineStr">
        <is>
          <t>Director &amp; Partnership Log</t>
        </is>
      </c>
      <c r="K15" s="4" t="n"/>
      <c r="L15" s="4" t="inlineStr">
        <is>
          <t>Director</t>
        </is>
      </c>
      <c r="M15" s="4" t="inlineStr">
        <is>
          <t>Director_Partnership_Log.xlsx</t>
        </is>
      </c>
      <c r="N15" s="4" t="inlineStr">
        <is>
          <t>Active</t>
        </is>
      </c>
    </row>
    <row r="16">
      <c r="A16" s="4" t="inlineStr">
        <is>
          <t>Cross-institution connections</t>
        </is>
      </c>
      <c r="B16" s="4" t="inlineStr">
        <is>
          <t>Active relationships with Rutgers, NPS, etc.</t>
        </is>
      </c>
      <c r="C16" s="4" t="inlineStr">
        <is>
          <t>count</t>
        </is>
      </c>
      <c r="D16" s="4" t="inlineStr">
        <is>
          <t>Institution</t>
        </is>
      </c>
      <c r="E16" s="4" t="inlineStr">
        <is>
          <t>Stability; Access</t>
        </is>
      </c>
      <c r="F16" s="4" t="inlineStr">
        <is>
          <t>n/a</t>
        </is>
      </c>
      <c r="G16" s="4" t="inlineStr">
        <is>
          <t>Education</t>
        </is>
      </c>
      <c r="H16" s="4" t="inlineStr">
        <is>
          <t>Quarterly</t>
        </is>
      </c>
      <c r="I16" s="4" t="inlineStr">
        <is>
          <t>HARVEST Lead</t>
        </is>
      </c>
      <c r="J16" s="4" t="inlineStr">
        <is>
          <t>Director &amp; Partnership Log</t>
        </is>
      </c>
      <c r="K16" s="4" t="n">
        <v>4</v>
      </c>
      <c r="L16" s="4" t="inlineStr">
        <is>
          <t>Director</t>
        </is>
      </c>
      <c r="M16" s="4" t="inlineStr">
        <is>
          <t>Director_Partnership_Log.xlsx</t>
        </is>
      </c>
      <c r="N16" s="4" t="inlineStr">
        <is>
          <t>Active</t>
        </is>
      </c>
    </row>
    <row r="17">
      <c r="A17" s="4" t="inlineStr">
        <is>
          <t>TA partnerships</t>
        </is>
      </c>
      <c r="B17" s="4" t="inlineStr">
        <is>
          <t>External institutions providing TA to members</t>
        </is>
      </c>
      <c r="C17" s="4" t="inlineStr">
        <is>
          <t>count</t>
        </is>
      </c>
      <c r="D17" s="4" t="inlineStr">
        <is>
          <t>Institution</t>
        </is>
      </c>
      <c r="E17" s="4" t="inlineStr">
        <is>
          <t>Utilization; Stability</t>
        </is>
      </c>
      <c r="F17" s="4" t="inlineStr">
        <is>
          <t>n/a</t>
        </is>
      </c>
      <c r="G17" s="4" t="inlineStr">
        <is>
          <t>Education</t>
        </is>
      </c>
      <c r="H17" s="4" t="inlineStr">
        <is>
          <t>Quarterly</t>
        </is>
      </c>
      <c r="I17" s="4" t="inlineStr">
        <is>
          <t>Joint</t>
        </is>
      </c>
      <c r="J17" s="4" t="inlineStr">
        <is>
          <t>Director &amp; Partnership Log</t>
        </is>
      </c>
      <c r="K17" s="4" t="n">
        <v>3</v>
      </c>
      <c r="L17" s="4" t="inlineStr">
        <is>
          <t>Director</t>
        </is>
      </c>
      <c r="M17" s="4" t="inlineStr">
        <is>
          <t>Director_Partnership_Log.xlsx</t>
        </is>
      </c>
      <c r="N17" s="4" t="inlineStr">
        <is>
          <t>Active</t>
        </is>
      </c>
    </row>
    <row r="18">
      <c r="A18" s="4" t="inlineStr">
        <is>
          <t>Reduction in readmission costs</t>
        </is>
      </c>
      <c r="B18" s="4" t="inlineStr">
        <is>
          <t>RWJBH readmission $ reduction from HARVEST</t>
        </is>
      </c>
      <c r="C18" s="4" t="inlineStr">
        <is>
          <t>$</t>
        </is>
      </c>
      <c r="D18" s="4" t="inlineStr">
        <is>
          <t>Institution</t>
        </is>
      </c>
      <c r="E18" s="4" t="inlineStr">
        <is>
          <t>Utilization; Access</t>
        </is>
      </c>
      <c r="F18" s="4" t="inlineStr">
        <is>
          <t>Retail-Consumption</t>
        </is>
      </c>
      <c r="G18" s="4" t="inlineStr">
        <is>
          <t>Healthcare</t>
        </is>
      </c>
      <c r="H18" s="4" t="inlineStr">
        <is>
          <t>Annual</t>
        </is>
      </c>
      <c r="I18" s="4" t="inlineStr">
        <is>
          <t>Joint</t>
        </is>
      </c>
      <c r="J18" s="4" t="inlineStr">
        <is>
          <t>Manual entry</t>
        </is>
      </c>
      <c r="K18" s="4" t="n"/>
      <c r="L18" s="4" t="inlineStr">
        <is>
          <t>Director</t>
        </is>
      </c>
      <c r="M18" s="4" t="inlineStr">
        <is>
          <t>Director_Partnership_Log.xlsx</t>
        </is>
      </c>
      <c r="N18" s="4" t="inlineStr">
        <is>
          <t>Planned — methodology TBD</t>
        </is>
      </c>
    </row>
    <row r="19">
      <c r="A19" s="4" t="inlineStr">
        <is>
          <t>Community orgs engaged</t>
        </is>
      </c>
      <c r="B19" s="4" t="inlineStr">
        <is>
          <t>Distinct orgs participating in any HARVEST activity</t>
        </is>
      </c>
      <c r="C19" s="4" t="inlineStr">
        <is>
          <t>count</t>
        </is>
      </c>
      <c r="D19" s="4" t="inlineStr">
        <is>
          <t>Community Organizations</t>
        </is>
      </c>
      <c r="E19" s="4" t="inlineStr">
        <is>
          <t>Agency; Access</t>
        </is>
      </c>
      <c r="F19" s="4" t="inlineStr">
        <is>
          <t>n/a</t>
        </is>
      </c>
      <c r="G19" s="4" t="inlineStr">
        <is>
          <t>Community-Based Org</t>
        </is>
      </c>
      <c r="H19" s="4" t="inlineStr">
        <is>
          <t>Monthly</t>
        </is>
      </c>
      <c r="I19" s="4" t="inlineStr">
        <is>
          <t>HARVEST Lead</t>
        </is>
      </c>
      <c r="J19" s="4" t="inlineStr">
        <is>
          <t>Community Engagement Log</t>
        </is>
      </c>
      <c r="K19" s="4" t="n">
        <v>15</v>
      </c>
      <c r="L19" s="4" t="inlineStr">
        <is>
          <t>Community Outreach Specialist</t>
        </is>
      </c>
      <c r="M19" s="4" t="inlineStr">
        <is>
          <t>Community_Engagement_Log.xlsx</t>
        </is>
      </c>
      <c r="N19" s="4" t="inlineStr">
        <is>
          <t>Active</t>
        </is>
      </c>
    </row>
    <row r="20">
      <c r="A20" s="4" t="inlineStr">
        <is>
          <t>Event participants</t>
        </is>
      </c>
      <c r="B20" s="4" t="inlineStr">
        <is>
          <t>Total participants across events</t>
        </is>
      </c>
      <c r="C20" s="4" t="inlineStr">
        <is>
          <t>count</t>
        </is>
      </c>
      <c r="D20" s="4" t="inlineStr">
        <is>
          <t>Community Organizations</t>
        </is>
      </c>
      <c r="E20" s="4" t="inlineStr">
        <is>
          <t>Utilization; Agency</t>
        </is>
      </c>
      <c r="F20" s="4" t="inlineStr">
        <is>
          <t>n/a</t>
        </is>
      </c>
      <c r="G20" s="4" t="inlineStr">
        <is>
          <t>Community-Based Org</t>
        </is>
      </c>
      <c r="H20" s="4" t="inlineStr">
        <is>
          <t>Per event</t>
        </is>
      </c>
      <c r="I20" s="4" t="inlineStr">
        <is>
          <t>HARVEST Lead</t>
        </is>
      </c>
      <c r="J20" s="4" t="inlineStr">
        <is>
          <t>Community Engagement Log</t>
        </is>
      </c>
      <c r="K20" s="4" t="n">
        <v>300</v>
      </c>
      <c r="L20" s="4" t="inlineStr">
        <is>
          <t>Community Outreach Specialist</t>
        </is>
      </c>
      <c r="M20" s="4" t="inlineStr">
        <is>
          <t>Community_Engagement_Log.xlsx</t>
        </is>
      </c>
      <c r="N20" s="4" t="inlineStr">
        <is>
          <t>Active</t>
        </is>
      </c>
    </row>
    <row r="21">
      <c r="A21" s="4" t="inlineStr">
        <is>
          <t>Community volunteer hours</t>
        </is>
      </c>
      <c r="B21" s="4" t="inlineStr">
        <is>
          <t>Hours from community volunteers at HARVEST</t>
        </is>
      </c>
      <c r="C21" s="4" t="inlineStr">
        <is>
          <t>hours</t>
        </is>
      </c>
      <c r="D21" s="4" t="inlineStr">
        <is>
          <t>Community Organizations</t>
        </is>
      </c>
      <c r="E21" s="4" t="inlineStr">
        <is>
          <t>Agency; Stability</t>
        </is>
      </c>
      <c r="F21" s="4" t="inlineStr">
        <is>
          <t>n/a</t>
        </is>
      </c>
      <c r="G21" s="4" t="inlineStr">
        <is>
          <t>Community-Based Org</t>
        </is>
      </c>
      <c r="H21" s="4" t="inlineStr">
        <is>
          <t>Per event</t>
        </is>
      </c>
      <c r="I21" s="4" t="inlineStr">
        <is>
          <t>HARVEST Lead</t>
        </is>
      </c>
      <c r="J21" s="4" t="inlineStr">
        <is>
          <t>Community Engagement Log</t>
        </is>
      </c>
      <c r="K21" s="4" t="n"/>
      <c r="L21" s="4" t="inlineStr">
        <is>
          <t>Community Outreach Specialist</t>
        </is>
      </c>
      <c r="M21" s="4" t="inlineStr">
        <is>
          <t>Community_Engagement_Log.xlsx</t>
        </is>
      </c>
      <c r="N21" s="4" t="inlineStr">
        <is>
          <t>Active</t>
        </is>
      </c>
    </row>
    <row r="22">
      <c r="A22" s="4" t="inlineStr">
        <is>
          <t>Community events run by staff</t>
        </is>
      </c>
      <c r="B22" s="4" t="inlineStr">
        <is>
          <t>Events run by HARVEST staff</t>
        </is>
      </c>
      <c r="C22" s="4" t="inlineStr">
        <is>
          <t>count</t>
        </is>
      </c>
      <c r="D22" s="4" t="inlineStr">
        <is>
          <t>Community Organizations</t>
        </is>
      </c>
      <c r="E22" s="4" t="inlineStr">
        <is>
          <t>Agency</t>
        </is>
      </c>
      <c r="F22" s="4" t="inlineStr">
        <is>
          <t>n/a</t>
        </is>
      </c>
      <c r="G22" s="4" t="inlineStr">
        <is>
          <t>Community-Based Org</t>
        </is>
      </c>
      <c r="H22" s="4" t="inlineStr">
        <is>
          <t>Per event</t>
        </is>
      </c>
      <c r="I22" s="4" t="inlineStr">
        <is>
          <t>HARVEST Lead</t>
        </is>
      </c>
      <c r="J22" s="4" t="inlineStr">
        <is>
          <t>Community Engagement Log</t>
        </is>
      </c>
      <c r="K22" s="4" t="n">
        <v>24</v>
      </c>
      <c r="L22" s="4" t="inlineStr">
        <is>
          <t>Community Outreach Specialist</t>
        </is>
      </c>
      <c r="M22" s="4" t="inlineStr">
        <is>
          <t>Community_Engagement_Log.xlsx</t>
        </is>
      </c>
      <c r="N22" s="4" t="inlineStr">
        <is>
          <t>Active</t>
        </is>
      </c>
    </row>
    <row r="23">
      <c r="A23" s="4" t="inlineStr">
        <is>
          <t>Survey feedback</t>
        </is>
      </c>
      <c r="B23" s="4" t="inlineStr">
        <is>
          <t>Row-per-question survey data (satisfaction, learning, open-ended)</t>
        </is>
      </c>
      <c r="C23" s="4" t="inlineStr">
        <is>
          <t>mixed</t>
        </is>
      </c>
      <c r="D23" s="4" t="inlineStr">
        <is>
          <t>Community Organizations</t>
        </is>
      </c>
      <c r="E23" s="4" t="inlineStr">
        <is>
          <t>Utilization</t>
        </is>
      </c>
      <c r="F23" s="4" t="inlineStr">
        <is>
          <t>n/a</t>
        </is>
      </c>
      <c r="G23" s="4" t="inlineStr">
        <is>
          <t>Community-Based Org</t>
        </is>
      </c>
      <c r="H23" s="4" t="inlineStr">
        <is>
          <t>Per event</t>
        </is>
      </c>
      <c r="I23" s="4" t="inlineStr">
        <is>
          <t>HARVEST Lead</t>
        </is>
      </c>
      <c r="J23" s="4" t="inlineStr">
        <is>
          <t>Community Engagement Log</t>
        </is>
      </c>
      <c r="K23" s="4" t="n"/>
      <c r="L23" s="4" t="inlineStr">
        <is>
          <t>Community Outreach Specialist</t>
        </is>
      </c>
      <c r="M23" s="4" t="inlineStr">
        <is>
          <t>Community_Engagement_Log.xlsx</t>
        </is>
      </c>
      <c r="N23" s="4" t="inlineStr">
        <is>
          <t>Active</t>
        </is>
      </c>
    </row>
    <row r="24">
      <c r="A24" s="4" t="inlineStr">
        <is>
          <t>Tours given</t>
        </is>
      </c>
      <c r="B24" s="4" t="inlineStr">
        <is>
          <t>Facility tours for external visitors</t>
        </is>
      </c>
      <c r="C24" s="4" t="inlineStr">
        <is>
          <t>count</t>
        </is>
      </c>
      <c r="D24" s="4" t="inlineStr">
        <is>
          <t>Community Organizations</t>
        </is>
      </c>
      <c r="E24" s="4" t="inlineStr">
        <is>
          <t>Agency</t>
        </is>
      </c>
      <c r="F24" s="4" t="inlineStr">
        <is>
          <t>n/a</t>
        </is>
      </c>
      <c r="G24" s="4" t="inlineStr">
        <is>
          <t>Community-Based Org</t>
        </is>
      </c>
      <c r="H24" s="4" t="inlineStr">
        <is>
          <t>Per event</t>
        </is>
      </c>
      <c r="I24" s="4" t="inlineStr">
        <is>
          <t>HARVEST Lead</t>
        </is>
      </c>
      <c r="J24" s="4" t="inlineStr">
        <is>
          <t>Community Engagement Log</t>
        </is>
      </c>
      <c r="K24" s="4" t="n">
        <v>24</v>
      </c>
      <c r="L24" s="4" t="inlineStr">
        <is>
          <t>Community Outreach Specialist</t>
        </is>
      </c>
      <c r="M24" s="4" t="inlineStr">
        <is>
          <t>Community_Engagement_Log.xlsx</t>
        </is>
      </c>
      <c r="N24" s="4" t="inlineStr">
        <is>
          <t>Active</t>
        </is>
      </c>
    </row>
    <row r="25">
      <c r="A25" s="4" t="inlineStr">
        <is>
          <t>Orgs hosting events at HARVEST</t>
        </is>
      </c>
      <c r="B25" s="4" t="inlineStr">
        <is>
          <t>External orgs using HARVEST as venue</t>
        </is>
      </c>
      <c r="C25" s="4" t="inlineStr">
        <is>
          <t>count</t>
        </is>
      </c>
      <c r="D25" s="4" t="inlineStr">
        <is>
          <t>Community Organizations</t>
        </is>
      </c>
      <c r="E25" s="4" t="inlineStr">
        <is>
          <t>Agency; Access</t>
        </is>
      </c>
      <c r="F25" s="4" t="inlineStr">
        <is>
          <t>n/a</t>
        </is>
      </c>
      <c r="G25" s="4" t="inlineStr">
        <is>
          <t>Community-Based Org</t>
        </is>
      </c>
      <c r="H25" s="4" t="inlineStr">
        <is>
          <t>Per event</t>
        </is>
      </c>
      <c r="I25" s="4" t="inlineStr">
        <is>
          <t>HARVEST Lead</t>
        </is>
      </c>
      <c r="J25" s="4" t="inlineStr">
        <is>
          <t>Community Engagement Log</t>
        </is>
      </c>
      <c r="K25" s="4" t="n">
        <v>6</v>
      </c>
      <c r="L25" s="4" t="inlineStr">
        <is>
          <t>Community Outreach Specialist</t>
        </is>
      </c>
      <c r="M25" s="4" t="inlineStr">
        <is>
          <t>Community_Engagement_Log.xlsx</t>
        </is>
      </c>
      <c r="N25" s="4" t="inlineStr">
        <is>
          <t>Active</t>
        </is>
      </c>
    </row>
    <row r="26">
      <c r="A26" s="4" t="inlineStr">
        <is>
          <t>Sectors engaged at HARVEST</t>
        </is>
      </c>
      <c r="B26" s="4" t="inlineStr">
        <is>
          <t>Distinct partner sectors across engagements</t>
        </is>
      </c>
      <c r="C26" s="4" t="inlineStr">
        <is>
          <t>count</t>
        </is>
      </c>
      <c r="D26" s="4" t="inlineStr">
        <is>
          <t>Community Organizations</t>
        </is>
      </c>
      <c r="E26" s="4" t="inlineStr">
        <is>
          <t>Stability</t>
        </is>
      </c>
      <c r="F26" s="4" t="inlineStr">
        <is>
          <t>n/a</t>
        </is>
      </c>
      <c r="G26" s="4" t="inlineStr">
        <is>
          <t>Community-Based Org</t>
        </is>
      </c>
      <c r="H26" s="4" t="inlineStr">
        <is>
          <t>Quarterly</t>
        </is>
      </c>
      <c r="I26" s="4" t="inlineStr">
        <is>
          <t>HARVEST Lead</t>
        </is>
      </c>
      <c r="J26" s="4" t="inlineStr">
        <is>
          <t>System-calculated</t>
        </is>
      </c>
      <c r="K26" s="4" t="n">
        <v>5</v>
      </c>
      <c r="L26" s="4" t="inlineStr">
        <is>
          <t>Director</t>
        </is>
      </c>
      <c r="M26" s="4" t="inlineStr">
        <is>
          <t>Community_Engagement_Log.xlsx</t>
        </is>
      </c>
      <c r="N26" s="4" t="inlineStr">
        <is>
          <t>Active</t>
        </is>
      </c>
    </row>
    <row r="27">
      <c r="A27" s="4" t="inlineStr">
        <is>
          <t>Multilingual / cultural events</t>
        </is>
      </c>
      <c r="B27" s="4" t="inlineStr">
        <is>
          <t>Events in non-English language or cultural tradition</t>
        </is>
      </c>
      <c r="C27" s="4" t="inlineStr">
        <is>
          <t>count</t>
        </is>
      </c>
      <c r="D27" s="4" t="inlineStr">
        <is>
          <t>Community Organizations</t>
        </is>
      </c>
      <c r="E27" s="4" t="inlineStr">
        <is>
          <t>Agency; Access</t>
        </is>
      </c>
      <c r="F27" s="4" t="inlineStr">
        <is>
          <t>n/a</t>
        </is>
      </c>
      <c r="G27" s="4" t="inlineStr">
        <is>
          <t>Community-Based Org</t>
        </is>
      </c>
      <c r="H27" s="4" t="inlineStr">
        <is>
          <t>Per event</t>
        </is>
      </c>
      <c r="I27" s="4" t="inlineStr">
        <is>
          <t>HARVEST Lead</t>
        </is>
      </c>
      <c r="J27" s="4" t="inlineStr">
        <is>
          <t>Community Engagement Log</t>
        </is>
      </c>
      <c r="K27" s="4" t="n">
        <v>6</v>
      </c>
      <c r="L27" s="4" t="inlineStr">
        <is>
          <t>Community Outreach Specialist</t>
        </is>
      </c>
      <c r="M27" s="4" t="inlineStr">
        <is>
          <t>Community_Engagement_Log.xlsx</t>
        </is>
      </c>
      <c r="N27" s="4" t="inlineStr">
        <is>
          <t>Active</t>
        </is>
      </c>
    </row>
    <row r="28">
      <c r="A28" s="4" t="inlineStr">
        <is>
          <t>Food recovery to service providers (lbs)</t>
        </is>
      </c>
      <c r="B28" s="4" t="inlineStr">
        <is>
          <t>lbs diverted to Bridges and others</t>
        </is>
      </c>
      <c r="C28" s="4" t="inlineStr">
        <is>
          <t>lbs</t>
        </is>
      </c>
      <c r="D28" s="4" t="inlineStr">
        <is>
          <t>Community Organizations</t>
        </is>
      </c>
      <c r="E28" s="4" t="inlineStr">
        <is>
          <t>Access; Sustainability</t>
        </is>
      </c>
      <c r="F28" s="4" t="inlineStr">
        <is>
          <t>Recovery-Waste</t>
        </is>
      </c>
      <c r="G28" s="4" t="inlineStr">
        <is>
          <t>Community-Based Org</t>
        </is>
      </c>
      <c r="H28" s="4" t="inlineStr">
        <is>
          <t>Per event</t>
        </is>
      </c>
      <c r="I28" s="4" t="inlineStr">
        <is>
          <t>HARVEST Lead</t>
        </is>
      </c>
      <c r="J28" s="4" t="inlineStr">
        <is>
          <t>Community Engagement Log</t>
        </is>
      </c>
      <c r="K28" s="4" t="n">
        <v>500</v>
      </c>
      <c r="L28" s="4" t="inlineStr">
        <is>
          <t>Community Outreach Specialist</t>
        </is>
      </c>
      <c r="M28" s="4" t="inlineStr">
        <is>
          <t>Community_Engagement_Log.xlsx</t>
        </is>
      </c>
      <c r="N28" s="4" t="inlineStr">
        <is>
          <t>Active</t>
        </is>
      </c>
    </row>
    <row r="29">
      <c r="A29" s="4" t="inlineStr">
        <is>
          <t>DSPs with presence at HARVEST</t>
        </is>
      </c>
      <c r="B29" s="4" t="inlineStr">
        <is>
          <t>Direct service providers with recurring presence</t>
        </is>
      </c>
      <c r="C29" s="4" t="inlineStr">
        <is>
          <t>count</t>
        </is>
      </c>
      <c r="D29" s="4" t="inlineStr">
        <is>
          <t>Community Organizations</t>
        </is>
      </c>
      <c r="E29" s="4" t="inlineStr">
        <is>
          <t>Access</t>
        </is>
      </c>
      <c r="F29" s="4" t="inlineStr">
        <is>
          <t>n/a</t>
        </is>
      </c>
      <c r="G29" s="4" t="inlineStr">
        <is>
          <t>Community-Based Org</t>
        </is>
      </c>
      <c r="H29" s="4" t="inlineStr">
        <is>
          <t>Quarterly</t>
        </is>
      </c>
      <c r="I29" s="4" t="inlineStr">
        <is>
          <t>HARVEST Lead</t>
        </is>
      </c>
      <c r="J29" s="4" t="inlineStr">
        <is>
          <t>Community Engagement Log</t>
        </is>
      </c>
      <c r="K29" s="4" t="n">
        <v>3</v>
      </c>
      <c r="L29" s="4" t="inlineStr">
        <is>
          <t>Community Outreach Specialist</t>
        </is>
      </c>
      <c r="M29" s="4" t="inlineStr">
        <is>
          <t>Community_Engagement_Log.xlsx</t>
        </is>
      </c>
      <c r="N29" s="4" t="inlineStr">
        <is>
          <t>Active</t>
        </is>
      </c>
    </row>
    <row r="30">
      <c r="A30" s="4" t="inlineStr">
        <is>
          <t>Grants and partnerships secured</t>
        </is>
      </c>
      <c r="B30" s="4" t="inlineStr">
        <is>
          <t>New grants or partnerships executed</t>
        </is>
      </c>
      <c r="C30" s="4" t="inlineStr">
        <is>
          <t>count</t>
        </is>
      </c>
      <c r="D30" s="4" t="inlineStr">
        <is>
          <t>Investors-Funders</t>
        </is>
      </c>
      <c r="E30" s="4" t="inlineStr">
        <is>
          <t>Stability</t>
        </is>
      </c>
      <c r="F30" s="4" t="inlineStr">
        <is>
          <t>n/a</t>
        </is>
      </c>
      <c r="G30" s="4" t="inlineStr">
        <is>
          <t>Philanthropy</t>
        </is>
      </c>
      <c r="H30" s="4" t="inlineStr">
        <is>
          <t>Per event</t>
        </is>
      </c>
      <c r="I30" s="4" t="inlineStr">
        <is>
          <t>HARVEST Lead</t>
        </is>
      </c>
      <c r="J30" s="4" t="inlineStr">
        <is>
          <t>Director &amp; Partnership Log</t>
        </is>
      </c>
      <c r="K30" s="4" t="n">
        <v>4</v>
      </c>
      <c r="L30" s="4" t="inlineStr">
        <is>
          <t>Director</t>
        </is>
      </c>
      <c r="M30" s="4" t="inlineStr">
        <is>
          <t>Director_Partnership_Log.xlsx</t>
        </is>
      </c>
      <c r="N30" s="4" t="inlineStr">
        <is>
          <t>Active</t>
        </is>
      </c>
    </row>
    <row r="31">
      <c r="A31" s="4" t="inlineStr">
        <is>
          <t>% earned revenue</t>
        </is>
      </c>
      <c r="B31" s="4" t="inlineStr">
        <is>
          <t>Earned revenue as % of total revenue</t>
        </is>
      </c>
      <c r="C31" s="4" t="inlineStr">
        <is>
          <t>%</t>
        </is>
      </c>
      <c r="D31" s="4" t="inlineStr">
        <is>
          <t>Investors-Funders</t>
        </is>
      </c>
      <c r="E31" s="4" t="inlineStr">
        <is>
          <t>Stability; Sustainability</t>
        </is>
      </c>
      <c r="F31" s="4" t="inlineStr">
        <is>
          <t>Processing</t>
        </is>
      </c>
      <c r="G31" s="4" t="inlineStr">
        <is>
          <t>Philanthropy</t>
        </is>
      </c>
      <c r="H31" s="4" t="inlineStr">
        <is>
          <t>Quarterly</t>
        </is>
      </c>
      <c r="I31" s="4" t="inlineStr">
        <is>
          <t>HARVEST Lead</t>
        </is>
      </c>
      <c r="J31" s="4" t="inlineStr">
        <is>
          <t>Director &amp; Partnership Log</t>
        </is>
      </c>
      <c r="K31" s="4" t="n"/>
      <c r="L31" s="4" t="inlineStr">
        <is>
          <t>Director</t>
        </is>
      </c>
      <c r="M31" s="4" t="inlineStr">
        <is>
          <t>Director_Partnership_Log.xlsx</t>
        </is>
      </c>
      <c r="N31" s="4" t="inlineStr">
        <is>
          <t>Active</t>
        </is>
      </c>
    </row>
    <row r="32">
      <c r="A32" s="4" t="inlineStr">
        <is>
          <t>Funders and sponsors</t>
        </is>
      </c>
      <c r="B32" s="4" t="inlineStr">
        <is>
          <t>Distinct active funders/sponsors</t>
        </is>
      </c>
      <c r="C32" s="4" t="inlineStr">
        <is>
          <t>count</t>
        </is>
      </c>
      <c r="D32" s="4" t="inlineStr">
        <is>
          <t>Investors-Funders</t>
        </is>
      </c>
      <c r="E32" s="4" t="inlineStr">
        <is>
          <t>Stability</t>
        </is>
      </c>
      <c r="F32" s="4" t="inlineStr">
        <is>
          <t>n/a</t>
        </is>
      </c>
      <c r="G32" s="4" t="inlineStr">
        <is>
          <t>Philanthropy</t>
        </is>
      </c>
      <c r="H32" s="4" t="inlineStr">
        <is>
          <t>Quarterly</t>
        </is>
      </c>
      <c r="I32" s="4" t="inlineStr">
        <is>
          <t>HARVEST Lead</t>
        </is>
      </c>
      <c r="J32" s="4" t="inlineStr">
        <is>
          <t>Director &amp; Partnership Log</t>
        </is>
      </c>
      <c r="K32" s="4" t="n"/>
      <c r="L32" s="4" t="inlineStr">
        <is>
          <t>Director</t>
        </is>
      </c>
      <c r="M32" s="4" t="inlineStr">
        <is>
          <t>Director_Partnership_Log.xlsx</t>
        </is>
      </c>
      <c r="N32" s="4" t="inlineStr">
        <is>
          <t>Active</t>
        </is>
      </c>
    </row>
    <row r="33">
      <c r="A33" s="4" t="inlineStr">
        <is>
          <t>Leveraged capital ($)</t>
        </is>
      </c>
      <c r="B33" s="4" t="inlineStr">
        <is>
          <t>Matching grants, investments, in-kind</t>
        </is>
      </c>
      <c r="C33" s="4" t="inlineStr">
        <is>
          <t>$</t>
        </is>
      </c>
      <c r="D33" s="4" t="inlineStr">
        <is>
          <t>Investors-Funders</t>
        </is>
      </c>
      <c r="E33" s="4" t="inlineStr">
        <is>
          <t>Stability; Sustainability</t>
        </is>
      </c>
      <c r="F33" s="4" t="inlineStr">
        <is>
          <t>n/a</t>
        </is>
      </c>
      <c r="G33" s="4" t="inlineStr">
        <is>
          <t>Philanthropy</t>
        </is>
      </c>
      <c r="H33" s="4" t="inlineStr">
        <is>
          <t>Quarterly</t>
        </is>
      </c>
      <c r="I33" s="4" t="inlineStr">
        <is>
          <t>HARVEST Lead</t>
        </is>
      </c>
      <c r="J33" s="4" t="inlineStr">
        <is>
          <t>Director &amp; Partnership Log</t>
        </is>
      </c>
      <c r="K33" s="4" t="n"/>
      <c r="L33" s="4" t="inlineStr">
        <is>
          <t>Director</t>
        </is>
      </c>
      <c r="M33" s="4" t="inlineStr">
        <is>
          <t>Director_Partnership_Log.xlsx</t>
        </is>
      </c>
      <c r="N33" s="4" t="inlineStr">
        <is>
          <t>Active</t>
        </is>
      </c>
    </row>
    <row r="34">
      <c r="A34" s="4" t="inlineStr">
        <is>
          <t>Social return on investment (SROI)</t>
        </is>
      </c>
      <c r="B34" s="4" t="inlineStr">
        <is>
          <t>Ratio of social value to dollars invested</t>
        </is>
      </c>
      <c r="C34" s="4" t="inlineStr">
        <is>
          <t>ratio</t>
        </is>
      </c>
      <c r="D34" s="4" t="inlineStr">
        <is>
          <t>Investors-Funders</t>
        </is>
      </c>
      <c r="E34" s="4" t="inlineStr">
        <is>
          <t>Sustainability; Stability</t>
        </is>
      </c>
      <c r="F34" s="4" t="inlineStr">
        <is>
          <t>n/a</t>
        </is>
      </c>
      <c r="G34" s="4" t="inlineStr">
        <is>
          <t>Philanthropy</t>
        </is>
      </c>
      <c r="H34" s="4" t="inlineStr">
        <is>
          <t>Annual</t>
        </is>
      </c>
      <c r="I34" s="4" t="inlineStr">
        <is>
          <t>HARVEST Lead</t>
        </is>
      </c>
      <c r="J34" s="4" t="inlineStr">
        <is>
          <t>Manual entry</t>
        </is>
      </c>
      <c r="K34" s="4" t="n"/>
      <c r="L34" s="4" t="inlineStr">
        <is>
          <t>Director</t>
        </is>
      </c>
      <c r="M34" s="4" t="inlineStr">
        <is>
          <t>Director_Partnership_Log.xlsx</t>
        </is>
      </c>
      <c r="N34" s="4" t="inlineStr">
        <is>
          <t>Planned — methodology TBD</t>
        </is>
      </c>
    </row>
    <row r="35">
      <c r="A35" s="4" t="inlineStr">
        <is>
          <t>JSC meetings held</t>
        </is>
      </c>
      <c r="B35" s="4" t="inlineStr">
        <is>
          <t>Joint Steering Committee meetings convened</t>
        </is>
      </c>
      <c r="C35" s="4" t="inlineStr">
        <is>
          <t>count</t>
        </is>
      </c>
      <c r="D35" s="4" t="inlineStr">
        <is>
          <t>Investors-Funders</t>
        </is>
      </c>
      <c r="E35" s="4" t="inlineStr">
        <is>
          <t>Stability</t>
        </is>
      </c>
      <c r="F35" s="4" t="inlineStr">
        <is>
          <t>n/a</t>
        </is>
      </c>
      <c r="G35" s="4" t="inlineStr">
        <is>
          <t>Philanthropy</t>
        </is>
      </c>
      <c r="H35" s="4" t="inlineStr">
        <is>
          <t>Per event</t>
        </is>
      </c>
      <c r="I35" s="4" t="inlineStr">
        <is>
          <t>Joint</t>
        </is>
      </c>
      <c r="J35" s="4" t="inlineStr">
        <is>
          <t>Director &amp; Partnership Log</t>
        </is>
      </c>
      <c r="K35" s="4" t="n">
        <v>10</v>
      </c>
      <c r="L35" s="4" t="inlineStr">
        <is>
          <t>Director</t>
        </is>
      </c>
      <c r="M35" s="4" t="inlineStr">
        <is>
          <t>Director_Partnership_Log.xlsx</t>
        </is>
      </c>
      <c r="N35" s="4" t="inlineStr">
        <is>
          <t>Active</t>
        </is>
      </c>
    </row>
    <row r="36">
      <c r="A36" s="4" t="inlineStr">
        <is>
          <t>CAB members onboarded</t>
        </is>
      </c>
      <c r="B36" s="4" t="inlineStr">
        <is>
          <t>Community Advisory Board members across sectors</t>
        </is>
      </c>
      <c r="C36" s="4" t="inlineStr">
        <is>
          <t>count</t>
        </is>
      </c>
      <c r="D36" s="4" t="inlineStr">
        <is>
          <t>Investors-Funders</t>
        </is>
      </c>
      <c r="E36" s="4" t="inlineStr">
        <is>
          <t>Agency; Stability</t>
        </is>
      </c>
      <c r="F36" s="4" t="inlineStr">
        <is>
          <t>n/a</t>
        </is>
      </c>
      <c r="G36" s="4" t="inlineStr">
        <is>
          <t>Community-Based Org</t>
        </is>
      </c>
      <c r="H36" s="4" t="inlineStr">
        <is>
          <t>Per event</t>
        </is>
      </c>
      <c r="I36" s="4" t="inlineStr">
        <is>
          <t>HARVEST Lead</t>
        </is>
      </c>
      <c r="J36" s="4" t="inlineStr">
        <is>
          <t>Director &amp; Partnership Log</t>
        </is>
      </c>
      <c r="K36" s="4" t="n">
        <v>10</v>
      </c>
      <c r="L36" s="4" t="inlineStr">
        <is>
          <t>Director</t>
        </is>
      </c>
      <c r="M36" s="4" t="inlineStr">
        <is>
          <t>Director_Partnership_Log.xlsx</t>
        </is>
      </c>
      <c r="N36" s="4" t="inlineStr">
        <is>
          <t>Active</t>
        </is>
      </c>
    </row>
    <row r="37">
      <c r="A37" s="4" t="inlineStr">
        <is>
          <t>CAB meetings held</t>
        </is>
      </c>
      <c r="B37" s="4" t="inlineStr">
        <is>
          <t>CAB meetings convened</t>
        </is>
      </c>
      <c r="C37" s="4" t="inlineStr">
        <is>
          <t>count</t>
        </is>
      </c>
      <c r="D37" s="4" t="inlineStr">
        <is>
          <t>Investors-Funders</t>
        </is>
      </c>
      <c r="E37" s="4" t="inlineStr">
        <is>
          <t>Agency; Stability</t>
        </is>
      </c>
      <c r="F37" s="4" t="inlineStr">
        <is>
          <t>n/a</t>
        </is>
      </c>
      <c r="G37" s="4" t="inlineStr">
        <is>
          <t>Community-Based Org</t>
        </is>
      </c>
      <c r="H37" s="4" t="inlineStr">
        <is>
          <t>Per event</t>
        </is>
      </c>
      <c r="I37" s="4" t="inlineStr">
        <is>
          <t>HARVEST Lead</t>
        </is>
      </c>
      <c r="J37" s="4" t="inlineStr">
        <is>
          <t>Director &amp; Partnership Log</t>
        </is>
      </c>
      <c r="K37" s="4" t="n">
        <v>2</v>
      </c>
      <c r="L37" s="4" t="inlineStr">
        <is>
          <t>Director</t>
        </is>
      </c>
      <c r="M37" s="4" t="inlineStr">
        <is>
          <t>Director_Partnership_Log.xlsx</t>
        </is>
      </c>
      <c r="N37" s="4" t="inlineStr">
        <is>
          <t>Active</t>
        </is>
      </c>
    </row>
    <row r="38">
      <c r="A38" s="4" t="inlineStr">
        <is>
          <t>Director community presentations</t>
        </is>
      </c>
      <c r="B38" s="4" t="inlineStr">
        <is>
          <t>Community-facing presentations by Director</t>
        </is>
      </c>
      <c r="C38" s="4" t="inlineStr">
        <is>
          <t>count</t>
        </is>
      </c>
      <c r="D38" s="4" t="inlineStr">
        <is>
          <t>Investors-Funders</t>
        </is>
      </c>
      <c r="E38" s="4" t="inlineStr">
        <is>
          <t>Agency</t>
        </is>
      </c>
      <c r="F38" s="4" t="inlineStr">
        <is>
          <t>n/a</t>
        </is>
      </c>
      <c r="G38" s="4" t="inlineStr">
        <is>
          <t>Philanthropy</t>
        </is>
      </c>
      <c r="H38" s="4" t="inlineStr">
        <is>
          <t>Per event</t>
        </is>
      </c>
      <c r="I38" s="4" t="inlineStr">
        <is>
          <t>HARVEST Lead</t>
        </is>
      </c>
      <c r="J38" s="4" t="inlineStr">
        <is>
          <t>Director &amp; Partnership Log</t>
        </is>
      </c>
      <c r="K38" s="4" t="n">
        <v>4</v>
      </c>
      <c r="L38" s="4" t="inlineStr">
        <is>
          <t>Director</t>
        </is>
      </c>
      <c r="M38" s="4" t="inlineStr">
        <is>
          <t>Director_Partnership_Log.xlsx</t>
        </is>
      </c>
      <c r="N38" s="4" t="inlineStr">
        <is>
          <t>Active</t>
        </is>
      </c>
    </row>
    <row r="39">
      <c r="A39" s="4" t="inlineStr">
        <is>
          <t>Farms engaged</t>
        </is>
      </c>
      <c r="B39" s="4" t="inlineStr">
        <is>
          <t>Distinct farms in active relationship</t>
        </is>
      </c>
      <c r="C39" s="4" t="inlineStr">
        <is>
          <t>count</t>
        </is>
      </c>
      <c r="D39" s="4" t="inlineStr">
        <is>
          <t>Farmers</t>
        </is>
      </c>
      <c r="E39" s="4" t="inlineStr">
        <is>
          <t>Agency; Stability</t>
        </is>
      </c>
      <c r="F39" s="4" t="inlineStr">
        <is>
          <t>Production</t>
        </is>
      </c>
      <c r="G39" s="4" t="inlineStr">
        <is>
          <t>Agriculture</t>
        </is>
      </c>
      <c r="H39" s="4" t="inlineStr">
        <is>
          <t>Monthly</t>
        </is>
      </c>
      <c r="I39" s="4" t="inlineStr">
        <is>
          <t>UAC Lead</t>
        </is>
      </c>
      <c r="J39" s="4" t="inlineStr">
        <is>
          <t>UAC Farmer Engagement Log</t>
        </is>
      </c>
      <c r="K39" s="4" t="n">
        <v>4</v>
      </c>
      <c r="L39" s="4" t="inlineStr">
        <is>
          <t>Director</t>
        </is>
      </c>
      <c r="M39" s="4" t="inlineStr">
        <is>
          <t>UAC_Farmer_Engagement_Log.xlsx</t>
        </is>
      </c>
      <c r="N39" s="4" t="inlineStr">
        <is>
          <t>Active</t>
        </is>
      </c>
    </row>
    <row r="40">
      <c r="A40" s="4" t="inlineStr">
        <is>
          <t>$ farmer business via HARVEST</t>
        </is>
      </c>
      <c r="B40" s="4" t="inlineStr">
        <is>
          <t>Total $ farmer sales via HARVEST/UAC</t>
        </is>
      </c>
      <c r="C40" s="4" t="inlineStr">
        <is>
          <t>$</t>
        </is>
      </c>
      <c r="D40" s="4" t="inlineStr">
        <is>
          <t>Farmers</t>
        </is>
      </c>
      <c r="E40" s="4" t="inlineStr">
        <is>
          <t>Stability; Access</t>
        </is>
      </c>
      <c r="F40" s="4" t="inlineStr">
        <is>
          <t>Aggregation</t>
        </is>
      </c>
      <c r="G40" s="4" t="inlineStr">
        <is>
          <t>Agriculture</t>
        </is>
      </c>
      <c r="H40" s="4" t="inlineStr">
        <is>
          <t>Monthly</t>
        </is>
      </c>
      <c r="I40" s="4" t="inlineStr">
        <is>
          <t>UAC Lead</t>
        </is>
      </c>
      <c r="J40" s="4" t="inlineStr">
        <is>
          <t>UAC Farmer Engagement Log</t>
        </is>
      </c>
      <c r="K40" s="4" t="n"/>
      <c r="L40" s="4" t="inlineStr">
        <is>
          <t>Director</t>
        </is>
      </c>
      <c r="M40" s="4" t="inlineStr">
        <is>
          <t>UAC_Farmer_Engagement_Log.xlsx</t>
        </is>
      </c>
      <c r="N40" s="4" t="inlineStr">
        <is>
          <t>Active</t>
        </is>
      </c>
    </row>
    <row r="41">
      <c r="A41" s="4" t="inlineStr">
        <is>
          <t>Types of produce moved</t>
        </is>
      </c>
      <c r="B41" s="4" t="inlineStr">
        <is>
          <t>Distinct produce types moved</t>
        </is>
      </c>
      <c r="C41" s="4" t="inlineStr">
        <is>
          <t>count</t>
        </is>
      </c>
      <c r="D41" s="4" t="inlineStr">
        <is>
          <t>Farmers</t>
        </is>
      </c>
      <c r="E41" s="4" t="inlineStr">
        <is>
          <t>Availability</t>
        </is>
      </c>
      <c r="F41" s="4" t="inlineStr">
        <is>
          <t>Aggregation</t>
        </is>
      </c>
      <c r="G41" s="4" t="inlineStr">
        <is>
          <t>Agriculture</t>
        </is>
      </c>
      <c r="H41" s="4" t="inlineStr">
        <is>
          <t>Monthly</t>
        </is>
      </c>
      <c r="I41" s="4" t="inlineStr">
        <is>
          <t>UAC Lead</t>
        </is>
      </c>
      <c r="J41" s="4" t="inlineStr">
        <is>
          <t>UAC Farmer Engagement Log</t>
        </is>
      </c>
      <c r="K41" s="4" t="n"/>
      <c r="L41" s="4" t="inlineStr">
        <is>
          <t>Director</t>
        </is>
      </c>
      <c r="M41" s="4" t="inlineStr">
        <is>
          <t>UAC_Farmer_Engagement_Log.xlsx</t>
        </is>
      </c>
      <c r="N41" s="4" t="inlineStr">
        <is>
          <t>Active</t>
        </is>
      </c>
    </row>
    <row r="42">
      <c r="A42" s="4" t="inlineStr">
        <is>
          <t>lbs of produce moved</t>
        </is>
      </c>
      <c r="B42" s="4" t="inlineStr">
        <is>
          <t>Total lbs aggregated/distributed</t>
        </is>
      </c>
      <c r="C42" s="4" t="inlineStr">
        <is>
          <t>lbs</t>
        </is>
      </c>
      <c r="D42" s="4" t="inlineStr">
        <is>
          <t>Farmers</t>
        </is>
      </c>
      <c r="E42" s="4" t="inlineStr">
        <is>
          <t>Availability; Access</t>
        </is>
      </c>
      <c r="F42" s="4" t="inlineStr">
        <is>
          <t>Aggregation</t>
        </is>
      </c>
      <c r="G42" s="4" t="inlineStr">
        <is>
          <t>Agriculture</t>
        </is>
      </c>
      <c r="H42" s="4" t="inlineStr">
        <is>
          <t>Monthly</t>
        </is>
      </c>
      <c r="I42" s="4" t="inlineStr">
        <is>
          <t>UAC Lead</t>
        </is>
      </c>
      <c r="J42" s="4" t="inlineStr">
        <is>
          <t>UAC Farmer Engagement Log</t>
        </is>
      </c>
      <c r="K42" s="4" t="n"/>
      <c r="L42" s="4" t="inlineStr">
        <is>
          <t>Director</t>
        </is>
      </c>
      <c r="M42" s="4" t="inlineStr">
        <is>
          <t>UAC_Farmer_Engagement_Log.xlsx</t>
        </is>
      </c>
      <c r="N42" s="4" t="inlineStr">
        <is>
          <t>Active</t>
        </is>
      </c>
    </row>
    <row r="43">
      <c r="A43" s="4" t="inlineStr">
        <is>
          <t>Farmers making value-added products</t>
        </is>
      </c>
      <c r="B43" s="4" t="inlineStr">
        <is>
          <t>Farmers using HARVEST for value-added</t>
        </is>
      </c>
      <c r="C43" s="4" t="inlineStr">
        <is>
          <t>count</t>
        </is>
      </c>
      <c r="D43" s="4" t="inlineStr">
        <is>
          <t>Farmers</t>
        </is>
      </c>
      <c r="E43" s="4" t="inlineStr">
        <is>
          <t>Agency; Stability</t>
        </is>
      </c>
      <c r="F43" s="4" t="inlineStr">
        <is>
          <t>Processing</t>
        </is>
      </c>
      <c r="G43" s="4" t="inlineStr">
        <is>
          <t>Agriculture</t>
        </is>
      </c>
      <c r="H43" s="4" t="inlineStr">
        <is>
          <t>Monthly</t>
        </is>
      </c>
      <c r="I43" s="4" t="inlineStr">
        <is>
          <t>UAC Lead</t>
        </is>
      </c>
      <c r="J43" s="4" t="inlineStr">
        <is>
          <t>UAC Farmer Engagement Log</t>
        </is>
      </c>
      <c r="K43" s="4" t="n"/>
      <c r="L43" s="4" t="inlineStr">
        <is>
          <t>Director</t>
        </is>
      </c>
      <c r="M43" s="4" t="inlineStr">
        <is>
          <t>UAC_Farmer_Engagement_Log.xlsx</t>
        </is>
      </c>
      <c r="N43" s="4" t="inlineStr">
        <is>
          <t>Active</t>
        </is>
      </c>
    </row>
    <row r="44">
      <c r="A44" s="4" t="inlineStr">
        <is>
          <t>Food waste diversion (lbs)</t>
        </is>
      </c>
      <c r="B44" s="4" t="inlineStr">
        <is>
          <t>lbs diverted from landfill (any pathway)</t>
        </is>
      </c>
      <c r="C44" s="4" t="inlineStr">
        <is>
          <t>lbs</t>
        </is>
      </c>
      <c r="D44" s="4" t="inlineStr">
        <is>
          <t>Environmental Sustainability</t>
        </is>
      </c>
      <c r="E44" s="4" t="inlineStr">
        <is>
          <t>Sustainability</t>
        </is>
      </c>
      <c r="F44" s="4" t="inlineStr">
        <is>
          <t>Recovery-Waste</t>
        </is>
      </c>
      <c r="G44" s="4" t="inlineStr">
        <is>
          <t>Community-Based Org</t>
        </is>
      </c>
      <c r="H44" s="4" t="inlineStr">
        <is>
          <t>Monthly</t>
        </is>
      </c>
      <c r="I44" s="4" t="inlineStr">
        <is>
          <t>HARVEST Lead</t>
        </is>
      </c>
      <c r="J44" s="4" t="inlineStr">
        <is>
          <t>Kitchen Operations Log</t>
        </is>
      </c>
      <c r="K44" s="4" t="n">
        <v>1000</v>
      </c>
      <c r="L44" s="4" t="inlineStr">
        <is>
          <t>Logistics Manager</t>
        </is>
      </c>
      <c r="M44" s="4" t="inlineStr">
        <is>
          <t>Kitchen_Operations_Log.xlsx</t>
        </is>
      </c>
      <c r="N44" s="4" t="inlineStr">
        <is>
          <t>Active</t>
        </is>
      </c>
    </row>
    <row r="45">
      <c r="A45" s="4" t="inlineStr">
        <is>
          <t>Composted (lbs)</t>
        </is>
      </c>
      <c r="B45" s="4" t="inlineStr">
        <is>
          <t>lbs of food waste composted</t>
        </is>
      </c>
      <c r="C45" s="4" t="inlineStr">
        <is>
          <t>lbs</t>
        </is>
      </c>
      <c r="D45" s="4" t="inlineStr">
        <is>
          <t>Environmental Sustainability</t>
        </is>
      </c>
      <c r="E45" s="4" t="inlineStr">
        <is>
          <t>Sustainability</t>
        </is>
      </c>
      <c r="F45" s="4" t="inlineStr">
        <is>
          <t>Recovery-Waste</t>
        </is>
      </c>
      <c r="G45" s="4" t="inlineStr">
        <is>
          <t>Community-Based Org</t>
        </is>
      </c>
      <c r="H45" s="4" t="inlineStr">
        <is>
          <t>Monthly</t>
        </is>
      </c>
      <c r="I45" s="4" t="inlineStr">
        <is>
          <t>HARVEST Lead</t>
        </is>
      </c>
      <c r="J45" s="4" t="inlineStr">
        <is>
          <t>Kitchen Operations Log</t>
        </is>
      </c>
      <c r="K45" s="4" t="n"/>
      <c r="L45" s="4" t="inlineStr">
        <is>
          <t>Logistics Manager</t>
        </is>
      </c>
      <c r="M45" s="4" t="inlineStr">
        <is>
          <t>Kitchen_Operations_Log.xlsx</t>
        </is>
      </c>
      <c r="N45" s="4" t="inlineStr">
        <is>
          <t>Active</t>
        </is>
      </c>
    </row>
    <row r="46">
      <c r="A46" s="4" t="inlineStr">
        <is>
          <t>Local food miles (avg)</t>
        </is>
      </c>
      <c r="B46" s="4" t="inlineStr">
        <is>
          <t>Avg distance from source to HARVEST</t>
        </is>
      </c>
      <c r="C46" s="4" t="inlineStr">
        <is>
          <t>miles</t>
        </is>
      </c>
      <c r="D46" s="4" t="inlineStr">
        <is>
          <t>Environmental Sustainability</t>
        </is>
      </c>
      <c r="E46" s="4" t="inlineStr">
        <is>
          <t>Sustainability</t>
        </is>
      </c>
      <c r="F46" s="4" t="inlineStr">
        <is>
          <t>Distribution</t>
        </is>
      </c>
      <c r="G46" s="4" t="inlineStr">
        <is>
          <t>Agriculture</t>
        </is>
      </c>
      <c r="H46" s="4" t="inlineStr">
        <is>
          <t>Quarterly</t>
        </is>
      </c>
      <c r="I46" s="4" t="inlineStr">
        <is>
          <t>UAC Lead</t>
        </is>
      </c>
      <c r="J46" s="4" t="inlineStr">
        <is>
          <t>System-calculated</t>
        </is>
      </c>
      <c r="K46" s="4" t="n"/>
      <c r="L46" s="4" t="inlineStr">
        <is>
          <t>Director</t>
        </is>
      </c>
      <c r="M46" s="4" t="inlineStr">
        <is>
          <t>UAC_Farmer_Engagement_Log.xlsx</t>
        </is>
      </c>
      <c r="N46" s="4" t="inlineStr">
        <is>
          <t>Active</t>
        </is>
      </c>
    </row>
    <row r="47">
      <c r="A47" s="4" t="inlineStr">
        <is>
          <t>Food captured for demos (lbs)</t>
        </is>
      </c>
      <c r="B47" s="4" t="inlineStr">
        <is>
          <t>lbs used in demos instead of wasted</t>
        </is>
      </c>
      <c r="C47" s="4" t="inlineStr">
        <is>
          <t>lbs</t>
        </is>
      </c>
      <c r="D47" s="4" t="inlineStr">
        <is>
          <t>Environmental Sustainability</t>
        </is>
      </c>
      <c r="E47" s="4" t="inlineStr">
        <is>
          <t>Sustainability; Utilization</t>
        </is>
      </c>
      <c r="F47" s="4" t="inlineStr">
        <is>
          <t>Recovery-Waste</t>
        </is>
      </c>
      <c r="G47" s="4" t="inlineStr">
        <is>
          <t>Healthcare</t>
        </is>
      </c>
      <c r="H47" s="4" t="inlineStr">
        <is>
          <t>Per event</t>
        </is>
      </c>
      <c r="I47" s="4" t="inlineStr">
        <is>
          <t>HARVEST Lead</t>
        </is>
      </c>
      <c r="J47" s="4" t="inlineStr">
        <is>
          <t>Culinary &amp; Training Log</t>
        </is>
      </c>
      <c r="K47" s="4" t="n"/>
      <c r="L47" s="4" t="inlineStr">
        <is>
          <t>Culinary Manager</t>
        </is>
      </c>
      <c r="M47" s="4" t="inlineStr">
        <is>
          <t>Culinary_Training_Log.xlsx</t>
        </is>
      </c>
      <c r="N47" s="4" t="inlineStr">
        <is>
          <t>Active</t>
        </is>
      </c>
    </row>
    <row r="48">
      <c r="A48" s="4" t="inlineStr">
        <is>
          <t>Health demo curriculums delivered</t>
        </is>
      </c>
      <c r="B48" s="4" t="inlineStr">
        <is>
          <t>Distinct curriculums delivered in health/nutrition demos</t>
        </is>
      </c>
      <c r="C48" s="4" t="inlineStr">
        <is>
          <t>count</t>
        </is>
      </c>
      <c r="D48" s="4" t="inlineStr">
        <is>
          <t>Food Entrepreneurs</t>
        </is>
      </c>
      <c r="E48" s="4" t="inlineStr">
        <is>
          <t>Utilization; Agency</t>
        </is>
      </c>
      <c r="F48" s="4" t="inlineStr">
        <is>
          <t>Processing</t>
        </is>
      </c>
      <c r="G48" s="4" t="inlineStr">
        <is>
          <t>Healthcare</t>
        </is>
      </c>
      <c r="H48" s="4" t="inlineStr">
        <is>
          <t>Per event</t>
        </is>
      </c>
      <c r="I48" s="4" t="inlineStr">
        <is>
          <t>HARVEST Lead</t>
        </is>
      </c>
      <c r="J48" s="4" t="inlineStr">
        <is>
          <t>Culinary &amp; Training Log</t>
        </is>
      </c>
      <c r="K48" s="4" t="n"/>
      <c r="L48" s="4" t="inlineStr">
        <is>
          <t>Culinary Manager</t>
        </is>
      </c>
      <c r="M48" s="4" t="inlineStr">
        <is>
          <t>Culinary_Training_Log.xlsx</t>
        </is>
      </c>
      <c r="N48" s="4" t="inlineStr">
        <is>
          <t>Active</t>
        </is>
      </c>
    </row>
    <row r="49">
      <c r="A49" s="4" t="inlineStr">
        <is>
          <t>RD in-kind hours</t>
        </is>
      </c>
      <c r="B49" s="4" t="inlineStr">
        <is>
          <t>Hours Registered Dietitians provided free demos to community</t>
        </is>
      </c>
      <c r="C49" s="4" t="inlineStr">
        <is>
          <t>hours</t>
        </is>
      </c>
      <c r="D49" s="4" t="inlineStr">
        <is>
          <t>Community Organizations</t>
        </is>
      </c>
      <c r="E49" s="4" t="inlineStr">
        <is>
          <t>Utilization; Access</t>
        </is>
      </c>
      <c r="F49" s="4" t="inlineStr">
        <is>
          <t>n/a</t>
        </is>
      </c>
      <c r="G49" s="4" t="inlineStr">
        <is>
          <t>Healthcare</t>
        </is>
      </c>
      <c r="H49" s="4" t="inlineStr">
        <is>
          <t>Per event</t>
        </is>
      </c>
      <c r="I49" s="4" t="inlineStr">
        <is>
          <t>HARVEST Lead</t>
        </is>
      </c>
      <c r="J49" s="4" t="inlineStr">
        <is>
          <t>Culinary &amp; Training Log</t>
        </is>
      </c>
      <c r="K49" s="4" t="n"/>
      <c r="L49" s="4" t="inlineStr">
        <is>
          <t>Culinary Manager</t>
        </is>
      </c>
      <c r="M49" s="4" t="inlineStr">
        <is>
          <t>Culinary_Training_Log.xlsx</t>
        </is>
      </c>
      <c r="N49" s="4" t="inlineStr">
        <is>
          <t>Active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N49">
    <cfRule type="expression" priority="1" dxfId="0">
      <formula>$N2="Planned — methodology TBD"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6" t="inlineStr">
        <is>
          <t>HARVEST — 2026 Performance Goals</t>
        </is>
      </c>
    </row>
    <row r="2" ht="22" customHeight="1">
      <c r="A2" s="7" t="inlineStr">
        <is>
          <t>Live status against the Director's 2026 annual review goals. Refresh (Data &gt; Refresh All) before screenshotting.</t>
        </is>
      </c>
    </row>
    <row r="4" ht="32" customHeight="1">
      <c r="A4" s="5" t="inlineStr">
        <is>
          <t>Goal</t>
        </is>
      </c>
      <c r="B4" s="5" t="inlineStr">
        <is>
          <t>Sub-goal</t>
        </is>
      </c>
      <c r="C4" s="5" t="inlineStr">
        <is>
          <t>Linked metric</t>
        </is>
      </c>
      <c r="D4" s="5" t="inlineStr">
        <is>
          <t>Target</t>
        </is>
      </c>
      <c r="E4" s="5" t="inlineStr">
        <is>
          <t>Current</t>
        </is>
      </c>
      <c r="F4" s="5" t="inlineStr">
        <is>
          <t>% Progress</t>
        </is>
      </c>
      <c r="G4" s="5" t="inlineStr">
        <is>
          <t>Status</t>
        </is>
      </c>
    </row>
    <row r="5" ht="30" customHeight="1">
      <c r="A5" s="8" t="inlineStr">
        <is>
          <t>1. Kitchen launch / operations</t>
        </is>
      </c>
      <c r="B5" s="8" t="inlineStr">
        <is>
          <t>Founding cohort — members converted</t>
        </is>
      </c>
      <c r="C5" s="8" t="inlineStr">
        <is>
          <t>Entrepreneurs converted to renting members</t>
        </is>
      </c>
      <c r="D5" s="8" t="n">
        <v>8</v>
      </c>
      <c r="E5" s="8">
        <f>SUMIFS(tbl_KitchenOps[New_Members],tbl_KitchenOps[Reporting_Week_End],"&gt;="&amp;DATE(2026,1,1),tbl_KitchenOps[Reporting_Week_End],"&lt;="&amp;DATE(2026,12,31))</f>
        <v/>
      </c>
      <c r="F5" s="9">
        <f>IFERROR(E5/D5,0)</f>
        <v/>
      </c>
      <c r="G5" s="8">
        <f>IF(D5="","",IF(F5&gt;=1,"On track",IF(F5&gt;=0.5,"In progress","At risk")))</f>
        <v/>
      </c>
    </row>
    <row r="6" ht="30" customHeight="1">
      <c r="A6" s="8" t="inlineStr">
        <is>
          <t>1. Kitchen launch / operations</t>
        </is>
      </c>
      <c r="B6" s="8" t="inlineStr">
        <is>
          <t>ServSafe pass rate</t>
        </is>
      </c>
      <c r="C6" s="8" t="inlineStr">
        <is>
          <t>% members achieving ServSafe</t>
        </is>
      </c>
      <c r="D6" s="8" t="n">
        <v>100</v>
      </c>
      <c r="E6" s="8">
        <f>IFERROR(SUM(tbl_Culinary[ServSafe_Passed])/SUM(tbl_Culinary[ServSafe_Attempted])*100,0)</f>
        <v/>
      </c>
      <c r="F6" s="9">
        <f>IFERROR(E6/D6,0)</f>
        <v/>
      </c>
      <c r="G6" s="8">
        <f>IF(D6="","",IF(F6&gt;=1,"On track",IF(F6&gt;=0.5,"In progress","At risk")))</f>
        <v/>
      </c>
    </row>
    <row r="7" ht="30" customHeight="1">
      <c r="A7" s="8" t="inlineStr">
        <is>
          <t>1. Kitchen launch / operations</t>
        </is>
      </c>
      <c r="B7" s="8" t="inlineStr">
        <is>
          <t>Kitchen rental hours</t>
        </is>
      </c>
      <c r="C7" s="8" t="inlineStr">
        <is>
          <t>Kitchen hours rented</t>
        </is>
      </c>
      <c r="D7" s="8" t="n">
        <v>1500</v>
      </c>
      <c r="E7" s="8">
        <f>SUM(tbl_FoodCorridor[Hours])</f>
        <v/>
      </c>
      <c r="F7" s="9">
        <f>IFERROR(E7/D7,0)</f>
        <v/>
      </c>
      <c r="G7" s="8">
        <f>IF(D7="","",IF(F7&gt;=1,"On track",IF(F7&gt;=0.5,"In progress","At risk")))</f>
        <v/>
      </c>
    </row>
    <row r="8" ht="30" customHeight="1">
      <c r="A8" s="8" t="inlineStr">
        <is>
          <t>2. Structural documentation</t>
        </is>
      </c>
      <c r="B8" s="8" t="inlineStr">
        <is>
          <t>SOPs, guiding docs complete</t>
        </is>
      </c>
      <c r="C8" s="8" t="inlineStr">
        <is>
          <t>—</t>
        </is>
      </c>
      <c r="D8" s="8" t="n"/>
      <c r="E8" s="8">
        <f>"See shared drive folder"</f>
        <v/>
      </c>
      <c r="F8" s="10" t="n"/>
      <c r="G8" s="8" t="inlineStr">
        <is>
          <t>Tracked outside KPI system</t>
        </is>
      </c>
    </row>
    <row r="9" ht="30" customHeight="1">
      <c r="A9" s="8" t="inlineStr">
        <is>
          <t>3. UAC partnership maintenance</t>
        </is>
      </c>
      <c r="B9" s="8" t="inlineStr">
        <is>
          <t>JSC meetings held</t>
        </is>
      </c>
      <c r="C9" s="8" t="inlineStr">
        <is>
          <t>JSC meetings held</t>
        </is>
      </c>
      <c r="D9" s="8" t="n">
        <v>10</v>
      </c>
      <c r="E9" s="8">
        <f>COUNTIFS(tbl_Director[Entry_Type],"JSC Meeting")</f>
        <v/>
      </c>
      <c r="F9" s="9">
        <f>IFERROR(E9/D9,0)</f>
        <v/>
      </c>
      <c r="G9" s="8">
        <f>IF(D9="","",IF(F9&gt;=1,"On track",IF(F9&gt;=0.5,"In progress","At risk")))</f>
        <v/>
      </c>
    </row>
    <row r="10" ht="30" customHeight="1">
      <c r="A10" s="8" t="inlineStr">
        <is>
          <t>3. UAC partnership maintenance</t>
        </is>
      </c>
      <c r="B10" s="8" t="inlineStr">
        <is>
          <t>Shared data framework operational</t>
        </is>
      </c>
      <c r="C10" s="8" t="inlineStr">
        <is>
          <t>Binary status</t>
        </is>
      </c>
      <c r="D10" s="8" t="n">
        <v>1</v>
      </c>
      <c r="E10" s="8">
        <f>1</f>
        <v/>
      </c>
      <c r="F10" s="9">
        <f>IFERROR(E10/D10,0)</f>
        <v/>
      </c>
      <c r="G10" s="8">
        <f>IF(D10="","",IF(F10&gt;=1,"On track",IF(F10&gt;=0.5,"In progress","At risk")))</f>
        <v/>
      </c>
    </row>
    <row r="11" ht="30" customHeight="1">
      <c r="A11" s="8" t="inlineStr">
        <is>
          <t>3. UAC partnership maintenance</t>
        </is>
      </c>
      <c r="B11" s="8" t="inlineStr">
        <is>
          <t>UAC-affiliated farmers engaged</t>
        </is>
      </c>
      <c r="C11" s="8" t="inlineStr">
        <is>
          <t>Farms engaged</t>
        </is>
      </c>
      <c r="D11" s="8" t="n">
        <v>4</v>
      </c>
      <c r="E11" s="8">
        <f>IFERROR(ROWS(UNIQUE(FILTER(tbl_Farmers[Farm_Name],tbl_Farmers[Farm_Name]&lt;&gt;""))),0)</f>
        <v/>
      </c>
      <c r="F11" s="9">
        <f>IFERROR(E11/D11,0)</f>
        <v/>
      </c>
      <c r="G11" s="8">
        <f>IF(D11="","",IF(F11&gt;=1,"On track",IF(F11&gt;=0.5,"In progress","At risk")))</f>
        <v/>
      </c>
    </row>
    <row r="12" ht="30" customHeight="1">
      <c r="A12" s="8" t="inlineStr">
        <is>
          <t>4. CAB development</t>
        </is>
      </c>
      <c r="B12" s="8" t="inlineStr">
        <is>
          <t>CAB members across sectors</t>
        </is>
      </c>
      <c r="C12" s="8" t="inlineStr">
        <is>
          <t>CAB members onboarded</t>
        </is>
      </c>
      <c r="D12" s="8" t="n">
        <v>10</v>
      </c>
      <c r="E12" s="8">
        <f>COUNTIFS(tbl_Director[Entry_Type],"CAB Member Added")</f>
        <v/>
      </c>
      <c r="F12" s="9">
        <f>IFERROR(E12/D12,0)</f>
        <v/>
      </c>
      <c r="G12" s="8">
        <f>IF(D12="","",IF(F12&gt;=1,"On track",IF(F12&gt;=0.5,"In progress","At risk")))</f>
        <v/>
      </c>
    </row>
    <row r="13" ht="30" customHeight="1">
      <c r="A13" s="8" t="inlineStr">
        <is>
          <t>4. CAB development</t>
        </is>
      </c>
      <c r="B13" s="8" t="inlineStr">
        <is>
          <t>CAB meetings held by year-end</t>
        </is>
      </c>
      <c r="C13" s="8" t="inlineStr">
        <is>
          <t>CAB meetings held</t>
        </is>
      </c>
      <c r="D13" s="8" t="n">
        <v>2</v>
      </c>
      <c r="E13" s="8">
        <f>COUNTIFS(tbl_Director[Entry_Type],"CAB Meeting")</f>
        <v/>
      </c>
      <c r="F13" s="9">
        <f>IFERROR(E13/D13,0)</f>
        <v/>
      </c>
      <c r="G13" s="8">
        <f>IF(D13="","",IF(F13&gt;=1,"On track",IF(F13&gt;=0.5,"In progress","At risk")))</f>
        <v/>
      </c>
    </row>
    <row r="14" ht="30" customHeight="1">
      <c r="A14" s="8" t="inlineStr">
        <is>
          <t>5. Professional development</t>
        </is>
      </c>
      <c r="B14" s="8" t="inlineStr">
        <is>
          <t>Shared Kitchen Summit attendance</t>
        </is>
      </c>
      <c r="C14" s="8" t="inlineStr">
        <is>
          <t>PD activity log</t>
        </is>
      </c>
      <c r="D14" s="8" t="n">
        <v>1</v>
      </c>
      <c r="E14" s="8">
        <f>COUNTIFS(tbl_Director[PD_Activity],"Shared Kitchen Summit")</f>
        <v/>
      </c>
      <c r="F14" s="9">
        <f>IFERROR(E14/D14,0)</f>
        <v/>
      </c>
      <c r="G14" s="8">
        <f>IF(D14="","",IF(F14&gt;=1,"On track",IF(F14&gt;=0.5,"In progress","At risk")))</f>
        <v/>
      </c>
    </row>
    <row r="15" ht="30" customHeight="1">
      <c r="A15" s="8" t="inlineStr">
        <is>
          <t>5. Professional development</t>
        </is>
      </c>
      <c r="B15" s="8" t="inlineStr">
        <is>
          <t>ServSafe Manager Cert (Director)</t>
        </is>
      </c>
      <c r="C15" s="8" t="inlineStr">
        <is>
          <t>PD activity log</t>
        </is>
      </c>
      <c r="D15" s="8" t="n">
        <v>1</v>
      </c>
      <c r="E15" s="8">
        <f>COUNTIFS(tbl_Director[PD_Activity],"ServSafe Manager Cert")</f>
        <v/>
      </c>
      <c r="F15" s="9">
        <f>IFERROR(E15/D15,0)</f>
        <v/>
      </c>
      <c r="G15" s="8">
        <f>IF(D15="","",IF(F15&gt;=1,"On track",IF(F15&gt;=0.5,"In progress","At risk")))</f>
        <v/>
      </c>
    </row>
    <row r="16" ht="30" customHeight="1">
      <c r="A16" s="8" t="inlineStr">
        <is>
          <t>5. Professional development</t>
        </is>
      </c>
      <c r="B16" s="8" t="inlineStr">
        <is>
          <t>Community presentations</t>
        </is>
      </c>
      <c r="C16" s="8" t="inlineStr">
        <is>
          <t>Director community presentations</t>
        </is>
      </c>
      <c r="D16" s="8" t="n">
        <v>4</v>
      </c>
      <c r="E16" s="8">
        <f>COUNTIFS(tbl_Director[PD_Activity],"Community Presentation")</f>
        <v/>
      </c>
      <c r="F16" s="9">
        <f>IFERROR(E16/D16,0)</f>
        <v/>
      </c>
      <c r="G16" s="8">
        <f>IF(D16="","",IF(F16&gt;=1,"On track",IF(F16&gt;=0.5,"In progress","At risk")))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G2"/>
    <mergeCell ref="A1:G1"/>
  </mergeCells>
  <conditionalFormatting sqref="G5:G16">
    <cfRule type="cellIs" priority="1" operator="equal" dxfId="1">
      <formula>"On track"</formula>
    </cfRule>
    <cfRule type="cellIs" priority="2" operator="equal" dxfId="0">
      <formula>"In progress"</formula>
    </cfRule>
    <cfRule type="cellIs" priority="3" operator="equal" dxfId="2">
      <formula>"At risk"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6" t="inlineStr">
        <is>
          <t>HARVEST — Executive Summary</t>
        </is>
      </c>
    </row>
    <row r="2">
      <c r="A2" s="7" t="inlineStr">
        <is>
          <t>Top-line metrics. Refresh: Data &gt; Refresh All.</t>
        </is>
      </c>
    </row>
    <row r="4" ht="22" customHeight="1">
      <c r="A4" s="11" t="inlineStr">
        <is>
          <t>Active member businesses</t>
        </is>
      </c>
      <c r="C4" s="11" t="inlineStr">
        <is>
          <t>Kitchen hours rented (YTD)</t>
        </is>
      </c>
      <c r="E4" s="11" t="inlineStr">
        <is>
          <t>Workshops &amp; TA sessions (YTD)</t>
        </is>
      </c>
    </row>
    <row r="5" ht="30" customHeight="1">
      <c r="A5" s="12">
        <f>IFERROR(ROWS(UNIQUE(FILTER(tbl_KitchenOps[New_Member_Business],tbl_KitchenOps[New_Member_Business]&lt;&gt;""))),0)</f>
        <v/>
      </c>
      <c r="C5" s="12">
        <f>SUM(tbl_FoodCorridor[Hours])</f>
        <v/>
      </c>
      <c r="E5" s="12">
        <f>ROWS(FILTER(tbl_Culinary[Event_Type],tbl_Culinary[Event_Type]&lt;&gt;"",""))</f>
        <v/>
      </c>
    </row>
    <row r="6" ht="8" customHeight="1"/>
    <row r="8" ht="22" customHeight="1">
      <c r="A8" s="11" t="inlineStr">
        <is>
          <t>Community event participants (YTD)</t>
        </is>
      </c>
      <c r="C8" s="11" t="inlineStr">
        <is>
          <t>Food recovery to providers (lbs)</t>
        </is>
      </c>
      <c r="E8" s="11" t="inlineStr">
        <is>
          <t>Food waste diverted (lbs)</t>
        </is>
      </c>
    </row>
    <row r="9" ht="30" customHeight="1">
      <c r="A9" s="12">
        <f>SUM(tbl_CommunityEvents[Attendance_Count])</f>
        <v/>
      </c>
      <c r="C9" s="12">
        <f>SUM(tbl_CommunityEvents[Food_Recovery_lbs])</f>
        <v/>
      </c>
      <c r="E9" s="12">
        <f>SUM(tbl_KitchenOps[Food_Waste_Diverted_lbs])</f>
        <v/>
      </c>
    </row>
    <row r="10" ht="8" customHeight="1"/>
    <row r="12" ht="22" customHeight="1">
      <c r="A12" s="11" t="inlineStr">
        <is>
          <t>Grants secured ($)</t>
        </is>
      </c>
      <c r="C12" s="11" t="inlineStr">
        <is>
          <t>Farms engaged</t>
        </is>
      </c>
      <c r="E12" s="11" t="inlineStr">
        <is>
          <t>RD in-kind hours (YTD)</t>
        </is>
      </c>
    </row>
    <row r="13" ht="30" customHeight="1">
      <c r="A13" s="13">
        <f>SUMIFS(tbl_Director[Amount_$],tbl_Director[Entry_Type],"Grant")</f>
        <v/>
      </c>
      <c r="C13" s="12">
        <f>IFERROR(ROWS(UNIQUE(FILTER(tbl_Farmers[Farm_Name],tbl_Farmers[Farm_Name]&lt;&gt;""))),0)</f>
        <v/>
      </c>
      <c r="E13" s="12">
        <f>SUM(tbl_Culinary[RD_InKind_Hours])</f>
        <v/>
      </c>
    </row>
    <row r="14" ht="8" customHeight="1"/>
    <row r="16" ht="22" customHeight="1">
      <c r="A16" s="11" t="inlineStr">
        <is>
          <t>Health demo curriculums delivered</t>
        </is>
      </c>
      <c r="C16" s="11" t="inlineStr">
        <is>
          <t>Produce moved (lbs)</t>
        </is>
      </c>
      <c r="E16" s="11" t="inlineStr">
        <is>
          <t>Survey responses collected</t>
        </is>
      </c>
    </row>
    <row r="17" ht="30" customHeight="1">
      <c r="A17" s="12">
        <f>IFERROR(ROWS(UNIQUE(FILTER(tbl_Culinary[Curriculum],tbl_Culinary[Curriculum]&lt;&gt;""))),0)</f>
        <v/>
      </c>
      <c r="C17" s="12">
        <f>SUM(tbl_Farmers[Produce_lbs])</f>
        <v/>
      </c>
      <c r="E17" s="12">
        <f>ROWS(tbl_SurveyResponses)-1</f>
        <v/>
      </c>
    </row>
    <row r="18" ht="8" customHeight="1"/>
    <row r="21">
      <c r="A21" s="14" t="inlineStr">
        <is>
          <t>By OFSA Dimension — count of KPIs tagged</t>
        </is>
      </c>
    </row>
    <row r="22">
      <c r="A22" s="15" t="inlineStr">
        <is>
          <t>Availability</t>
        </is>
      </c>
      <c r="B22" s="15" t="inlineStr">
        <is>
          <t>Access</t>
        </is>
      </c>
      <c r="C22" s="15" t="inlineStr">
        <is>
          <t>Utilization</t>
        </is>
      </c>
      <c r="D22" s="15" t="inlineStr">
        <is>
          <t>Stability</t>
        </is>
      </c>
      <c r="E22" s="15" t="inlineStr">
        <is>
          <t>Agency</t>
        </is>
      </c>
      <c r="F22" s="15" t="inlineStr">
        <is>
          <t>Sustainability</t>
        </is>
      </c>
    </row>
    <row r="23">
      <c r="A23" s="16">
        <f>COUNTIF(tbl_KPI_Catalog[OFSA Dimension(s)],"*Availability*")</f>
        <v/>
      </c>
      <c r="B23" s="16">
        <f>COUNTIF(tbl_KPI_Catalog[OFSA Dimension(s)],"*Access*")</f>
        <v/>
      </c>
      <c r="C23" s="16">
        <f>COUNTIF(tbl_KPI_Catalog[OFSA Dimension(s)],"*Utilization*")</f>
        <v/>
      </c>
      <c r="D23" s="16">
        <f>COUNTIF(tbl_KPI_Catalog[OFSA Dimension(s)],"*Stability*")</f>
        <v/>
      </c>
      <c r="E23" s="16">
        <f>COUNTIF(tbl_KPI_Catalog[OFSA Dimension(s)],"*Agency*")</f>
        <v/>
      </c>
      <c r="F23" s="16">
        <f>COUNTIF(tbl_KPI_Catalog[OFSA Dimension(s)],"*Sustainability*")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7">
    <mergeCell ref="E12:F12"/>
    <mergeCell ref="A5:B6"/>
    <mergeCell ref="A21:F21"/>
    <mergeCell ref="A17:B18"/>
    <mergeCell ref="E8:F8"/>
    <mergeCell ref="C17:D18"/>
    <mergeCell ref="C4:D4"/>
    <mergeCell ref="A2:F2"/>
    <mergeCell ref="E4:F4"/>
    <mergeCell ref="A13:B14"/>
    <mergeCell ref="A16:B16"/>
    <mergeCell ref="C16:D16"/>
    <mergeCell ref="C13:D14"/>
    <mergeCell ref="A9:B10"/>
    <mergeCell ref="A12:B12"/>
    <mergeCell ref="C12:D12"/>
    <mergeCell ref="C5:D6"/>
    <mergeCell ref="E5:F6"/>
    <mergeCell ref="A8:B8"/>
    <mergeCell ref="E17:F18"/>
    <mergeCell ref="C8:D8"/>
    <mergeCell ref="E13:F14"/>
    <mergeCell ref="A4:B4"/>
    <mergeCell ref="E16:F16"/>
    <mergeCell ref="A1:F1"/>
    <mergeCell ref="C9:D10"/>
    <mergeCell ref="E9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8" customWidth="1" min="3" max="3"/>
    <col width="12" customWidth="1" min="4" max="4"/>
    <col width="22" customWidth="1" min="5" max="5"/>
  </cols>
  <sheetData>
    <row r="1" ht="36" customHeight="1">
      <c r="A1" s="6" t="inlineStr">
        <is>
          <t>HARVEST — By OFSA Dimension</t>
        </is>
      </c>
    </row>
    <row r="2">
      <c r="A2" s="7" t="inlineStr">
        <is>
          <t>KPIs tagged to each OFSA dimension. Bridge to the logic model.</t>
        </is>
      </c>
    </row>
    <row r="4" ht="28" customHeight="1">
      <c r="A4" s="17" t="inlineStr">
        <is>
          <t>Availability</t>
        </is>
      </c>
    </row>
    <row r="5">
      <c r="A5" s="18" t="inlineStr">
        <is>
          <t>KPI</t>
        </is>
      </c>
      <c r="B5" s="18" t="inlineStr">
        <is>
          <t>Audience</t>
        </is>
      </c>
      <c r="C5" s="18" t="inlineStr">
        <is>
          <t>Unit</t>
        </is>
      </c>
      <c r="D5" s="18" t="inlineStr">
        <is>
          <t>2026 Target</t>
        </is>
      </c>
      <c r="E5" s="18" t="inlineStr">
        <is>
          <t>Status</t>
        </is>
      </c>
    </row>
    <row r="6">
      <c r="A6" s="4" t="inlineStr">
        <is>
          <t>Entrepreneurs converted to renting members</t>
        </is>
      </c>
      <c r="B6" s="4" t="inlineStr">
        <is>
          <t>Food Entrepreneurs</t>
        </is>
      </c>
      <c r="C6" s="4" t="inlineStr">
        <is>
          <t>count</t>
        </is>
      </c>
      <c r="D6" s="4" t="n">
        <v>8</v>
      </c>
      <c r="E6" s="4" t="inlineStr">
        <is>
          <t>Active</t>
        </is>
      </c>
    </row>
    <row r="7">
      <c r="A7" s="4" t="inlineStr">
        <is>
          <t>Kitchen hours rented</t>
        </is>
      </c>
      <c r="B7" s="4" t="inlineStr">
        <is>
          <t>Food Entrepreneurs</t>
        </is>
      </c>
      <c r="C7" s="4" t="inlineStr">
        <is>
          <t>hours</t>
        </is>
      </c>
      <c r="D7" s="4" t="n">
        <v>1500</v>
      </c>
      <c r="E7" s="4" t="inlineStr">
        <is>
          <t>Active</t>
        </is>
      </c>
    </row>
    <row r="8">
      <c r="A8" s="4" t="inlineStr">
        <is>
          <t>$ purchasing orders from HARVEST/UAC vendors</t>
        </is>
      </c>
      <c r="B8" s="4" t="inlineStr">
        <is>
          <t>Institution</t>
        </is>
      </c>
      <c r="C8" s="4" t="inlineStr">
        <is>
          <t>$</t>
        </is>
      </c>
      <c r="D8" s="4" t="n"/>
      <c r="E8" s="4" t="inlineStr">
        <is>
          <t>Active</t>
        </is>
      </c>
    </row>
    <row r="9">
      <c r="A9" s="4" t="inlineStr">
        <is>
          <t>HARVEST-produced items on institutional menus</t>
        </is>
      </c>
      <c r="B9" s="4" t="inlineStr">
        <is>
          <t>Institution</t>
        </is>
      </c>
      <c r="C9" s="4" t="inlineStr">
        <is>
          <t>count</t>
        </is>
      </c>
      <c r="D9" s="4" t="n"/>
      <c r="E9" s="4" t="inlineStr">
        <is>
          <t>Active</t>
        </is>
      </c>
    </row>
    <row r="10">
      <c r="A10" s="4" t="inlineStr">
        <is>
          <t>Types of produce moved</t>
        </is>
      </c>
      <c r="B10" s="4" t="inlineStr">
        <is>
          <t>Farmers</t>
        </is>
      </c>
      <c r="C10" s="4" t="inlineStr">
        <is>
          <t>count</t>
        </is>
      </c>
      <c r="D10" s="4" t="n"/>
      <c r="E10" s="4" t="inlineStr">
        <is>
          <t>Active</t>
        </is>
      </c>
    </row>
    <row r="11">
      <c r="A11" s="4" t="inlineStr">
        <is>
          <t>lbs of produce moved</t>
        </is>
      </c>
      <c r="B11" s="4" t="inlineStr">
        <is>
          <t>Farmers</t>
        </is>
      </c>
      <c r="C11" s="4" t="inlineStr">
        <is>
          <t>lbs</t>
        </is>
      </c>
      <c r="D11" s="4" t="n"/>
      <c r="E11" s="4" t="inlineStr">
        <is>
          <t>Active</t>
        </is>
      </c>
    </row>
    <row r="13" ht="28" customHeight="1">
      <c r="A13" s="17" t="inlineStr">
        <is>
          <t>Access</t>
        </is>
      </c>
    </row>
    <row r="14">
      <c r="A14" s="18" t="inlineStr">
        <is>
          <t>KPI</t>
        </is>
      </c>
      <c r="B14" s="18" t="inlineStr">
        <is>
          <t>Audience</t>
        </is>
      </c>
      <c r="C14" s="18" t="inlineStr">
        <is>
          <t>Unit</t>
        </is>
      </c>
      <c r="D14" s="18" t="inlineStr">
        <is>
          <t>2026 Target</t>
        </is>
      </c>
      <c r="E14" s="18" t="inlineStr">
        <is>
          <t>Status</t>
        </is>
      </c>
    </row>
    <row r="15">
      <c r="A15" s="4" t="inlineStr">
        <is>
          <t>Businesses buying local produce via UAC</t>
        </is>
      </c>
      <c r="B15" s="4" t="inlineStr">
        <is>
          <t>Food Entrepreneurs</t>
        </is>
      </c>
      <c r="C15" s="4" t="inlineStr">
        <is>
          <t>count</t>
        </is>
      </c>
      <c r="D15" s="4" t="n">
        <v>3</v>
      </c>
      <c r="E15" s="4" t="inlineStr">
        <is>
          <t>Active</t>
        </is>
      </c>
    </row>
    <row r="16">
      <c r="A16" s="4" t="inlineStr">
        <is>
          <t>$ purchasing orders from HARVEST/UAC vendors</t>
        </is>
      </c>
      <c r="B16" s="4" t="inlineStr">
        <is>
          <t>Institution</t>
        </is>
      </c>
      <c r="C16" s="4" t="inlineStr">
        <is>
          <t>$</t>
        </is>
      </c>
      <c r="D16" s="4" t="n"/>
      <c r="E16" s="4" t="inlineStr">
        <is>
          <t>Active</t>
        </is>
      </c>
    </row>
    <row r="17">
      <c r="A17" s="4" t="inlineStr">
        <is>
          <t>HARVEST-produced items on institutional menus</t>
        </is>
      </c>
      <c r="B17" s="4" t="inlineStr">
        <is>
          <t>Institution</t>
        </is>
      </c>
      <c r="C17" s="4" t="inlineStr">
        <is>
          <t>count</t>
        </is>
      </c>
      <c r="D17" s="4" t="n"/>
      <c r="E17" s="4" t="inlineStr">
        <is>
          <t>Active</t>
        </is>
      </c>
    </row>
    <row r="18">
      <c r="A18" s="4" t="inlineStr">
        <is>
          <t>Cross-institution connections</t>
        </is>
      </c>
      <c r="B18" s="4" t="inlineStr">
        <is>
          <t>Institution</t>
        </is>
      </c>
      <c r="C18" s="4" t="inlineStr">
        <is>
          <t>count</t>
        </is>
      </c>
      <c r="D18" s="4" t="n">
        <v>4</v>
      </c>
      <c r="E18" s="4" t="inlineStr">
        <is>
          <t>Active</t>
        </is>
      </c>
    </row>
    <row r="19">
      <c r="A19" s="4" t="inlineStr">
        <is>
          <t>Reduction in readmission costs</t>
        </is>
      </c>
      <c r="B19" s="4" t="inlineStr">
        <is>
          <t>Institution</t>
        </is>
      </c>
      <c r="C19" s="4" t="inlineStr">
        <is>
          <t>$</t>
        </is>
      </c>
      <c r="D19" s="4" t="n"/>
      <c r="E19" s="4" t="inlineStr">
        <is>
          <t>Planned — methodology TBD</t>
        </is>
      </c>
    </row>
    <row r="20">
      <c r="A20" s="4" t="inlineStr">
        <is>
          <t>Community orgs engaged</t>
        </is>
      </c>
      <c r="B20" s="4" t="inlineStr">
        <is>
          <t>Community Organizations</t>
        </is>
      </c>
      <c r="C20" s="4" t="inlineStr">
        <is>
          <t>count</t>
        </is>
      </c>
      <c r="D20" s="4" t="n">
        <v>15</v>
      </c>
      <c r="E20" s="4" t="inlineStr">
        <is>
          <t>Active</t>
        </is>
      </c>
    </row>
    <row r="21">
      <c r="A21" s="4" t="inlineStr">
        <is>
          <t>Orgs hosting events at HARVEST</t>
        </is>
      </c>
      <c r="B21" s="4" t="inlineStr">
        <is>
          <t>Community Organizations</t>
        </is>
      </c>
      <c r="C21" s="4" t="inlineStr">
        <is>
          <t>count</t>
        </is>
      </c>
      <c r="D21" s="4" t="n">
        <v>6</v>
      </c>
      <c r="E21" s="4" t="inlineStr">
        <is>
          <t>Active</t>
        </is>
      </c>
    </row>
    <row r="22">
      <c r="A22" s="4" t="inlineStr">
        <is>
          <t>Multilingual / cultural events</t>
        </is>
      </c>
      <c r="B22" s="4" t="inlineStr">
        <is>
          <t>Community Organizations</t>
        </is>
      </c>
      <c r="C22" s="4" t="inlineStr">
        <is>
          <t>count</t>
        </is>
      </c>
      <c r="D22" s="4" t="n">
        <v>6</v>
      </c>
      <c r="E22" s="4" t="inlineStr">
        <is>
          <t>Active</t>
        </is>
      </c>
    </row>
    <row r="23">
      <c r="A23" s="4" t="inlineStr">
        <is>
          <t>Food recovery to service providers (lbs)</t>
        </is>
      </c>
      <c r="B23" s="4" t="inlineStr">
        <is>
          <t>Community Organizations</t>
        </is>
      </c>
      <c r="C23" s="4" t="inlineStr">
        <is>
          <t>lbs</t>
        </is>
      </c>
      <c r="D23" s="4" t="n">
        <v>500</v>
      </c>
      <c r="E23" s="4" t="inlineStr">
        <is>
          <t>Active</t>
        </is>
      </c>
    </row>
    <row r="24">
      <c r="A24" s="4" t="inlineStr">
        <is>
          <t>DSPs with presence at HARVEST</t>
        </is>
      </c>
      <c r="B24" s="4" t="inlineStr">
        <is>
          <t>Community Organizations</t>
        </is>
      </c>
      <c r="C24" s="4" t="inlineStr">
        <is>
          <t>count</t>
        </is>
      </c>
      <c r="D24" s="4" t="n">
        <v>3</v>
      </c>
      <c r="E24" s="4" t="inlineStr">
        <is>
          <t>Active</t>
        </is>
      </c>
    </row>
    <row r="25">
      <c r="A25" s="4" t="inlineStr">
        <is>
          <t>$ farmer business via HARVEST</t>
        </is>
      </c>
      <c r="B25" s="4" t="inlineStr">
        <is>
          <t>Farmers</t>
        </is>
      </c>
      <c r="C25" s="4" t="inlineStr">
        <is>
          <t>$</t>
        </is>
      </c>
      <c r="D25" s="4" t="n"/>
      <c r="E25" s="4" t="inlineStr">
        <is>
          <t>Active</t>
        </is>
      </c>
    </row>
    <row r="26">
      <c r="A26" s="4" t="inlineStr">
        <is>
          <t>lbs of produce moved</t>
        </is>
      </c>
      <c r="B26" s="4" t="inlineStr">
        <is>
          <t>Farmers</t>
        </is>
      </c>
      <c r="C26" s="4" t="inlineStr">
        <is>
          <t>lbs</t>
        </is>
      </c>
      <c r="D26" s="4" t="n"/>
      <c r="E26" s="4" t="inlineStr">
        <is>
          <t>Active</t>
        </is>
      </c>
    </row>
    <row r="27">
      <c r="A27" s="4" t="inlineStr">
        <is>
          <t>RD in-kind hours</t>
        </is>
      </c>
      <c r="B27" s="4" t="inlineStr">
        <is>
          <t>Community Organizations</t>
        </is>
      </c>
      <c r="C27" s="4" t="inlineStr">
        <is>
          <t>hours</t>
        </is>
      </c>
      <c r="D27" s="4" t="n"/>
      <c r="E27" s="4" t="inlineStr">
        <is>
          <t>Active</t>
        </is>
      </c>
    </row>
    <row r="29" ht="28" customHeight="1">
      <c r="A29" s="17" t="inlineStr">
        <is>
          <t>Utilization</t>
        </is>
      </c>
    </row>
    <row r="30">
      <c r="A30" s="18" t="inlineStr">
        <is>
          <t>KPI</t>
        </is>
      </c>
      <c r="B30" s="18" t="inlineStr">
        <is>
          <t>Audience</t>
        </is>
      </c>
      <c r="C30" s="18" t="inlineStr">
        <is>
          <t>Unit</t>
        </is>
      </c>
      <c r="D30" s="18" t="inlineStr">
        <is>
          <t>2026 Target</t>
        </is>
      </c>
      <c r="E30" s="18" t="inlineStr">
        <is>
          <t>Status</t>
        </is>
      </c>
    </row>
    <row r="31">
      <c r="A31" s="4" t="inlineStr">
        <is>
          <t>% members achieving ServSafe</t>
        </is>
      </c>
      <c r="B31" s="4" t="inlineStr">
        <is>
          <t>Food Entrepreneurs</t>
        </is>
      </c>
      <c r="C31" s="4" t="inlineStr">
        <is>
          <t>%</t>
        </is>
      </c>
      <c r="D31" s="4" t="n">
        <v>100</v>
      </c>
      <c r="E31" s="4" t="inlineStr">
        <is>
          <t>Active</t>
        </is>
      </c>
    </row>
    <row r="32">
      <c r="A32" s="4" t="inlineStr">
        <is>
          <t>Workforce dev seminars held</t>
        </is>
      </c>
      <c r="B32" s="4" t="inlineStr">
        <is>
          <t>Food Entrepreneurs</t>
        </is>
      </c>
      <c r="C32" s="4" t="inlineStr">
        <is>
          <t>count</t>
        </is>
      </c>
      <c r="D32" s="4" t="n">
        <v>6</v>
      </c>
      <c r="E32" s="4" t="inlineStr">
        <is>
          <t>Active</t>
        </is>
      </c>
    </row>
    <row r="33">
      <c r="A33" s="4" t="inlineStr">
        <is>
          <t>Technical assistance sessions</t>
        </is>
      </c>
      <c r="B33" s="4" t="inlineStr">
        <is>
          <t>Food Entrepreneurs</t>
        </is>
      </c>
      <c r="C33" s="4" t="inlineStr">
        <is>
          <t>count</t>
        </is>
      </c>
      <c r="D33" s="4" t="n">
        <v>30</v>
      </c>
      <c r="E33" s="4" t="inlineStr">
        <is>
          <t>Active</t>
        </is>
      </c>
    </row>
    <row r="34">
      <c r="A34" s="4" t="inlineStr">
        <is>
          <t>Businesses receiving wellness coaching</t>
        </is>
      </c>
      <c r="B34" s="4" t="inlineStr">
        <is>
          <t>Food Entrepreneurs</t>
        </is>
      </c>
      <c r="C34" s="4" t="inlineStr">
        <is>
          <t>count</t>
        </is>
      </c>
      <c r="D34" s="4" t="n"/>
      <c r="E34" s="4" t="inlineStr">
        <is>
          <t>Active</t>
        </is>
      </c>
    </row>
    <row r="35">
      <c r="A35" s="4" t="inlineStr">
        <is>
          <t>TA partnerships</t>
        </is>
      </c>
      <c r="B35" s="4" t="inlineStr">
        <is>
          <t>Institution</t>
        </is>
      </c>
      <c r="C35" s="4" t="inlineStr">
        <is>
          <t>count</t>
        </is>
      </c>
      <c r="D35" s="4" t="n">
        <v>3</v>
      </c>
      <c r="E35" s="4" t="inlineStr">
        <is>
          <t>Active</t>
        </is>
      </c>
    </row>
    <row r="36">
      <c r="A36" s="4" t="inlineStr">
        <is>
          <t>Reduction in readmission costs</t>
        </is>
      </c>
      <c r="B36" s="4" t="inlineStr">
        <is>
          <t>Institution</t>
        </is>
      </c>
      <c r="C36" s="4" t="inlineStr">
        <is>
          <t>$</t>
        </is>
      </c>
      <c r="D36" s="4" t="n"/>
      <c r="E36" s="4" t="inlineStr">
        <is>
          <t>Planned — methodology TBD</t>
        </is>
      </c>
    </row>
    <row r="37">
      <c r="A37" s="4" t="inlineStr">
        <is>
          <t>Event participants</t>
        </is>
      </c>
      <c r="B37" s="4" t="inlineStr">
        <is>
          <t>Community Organizations</t>
        </is>
      </c>
      <c r="C37" s="4" t="inlineStr">
        <is>
          <t>count</t>
        </is>
      </c>
      <c r="D37" s="4" t="n">
        <v>300</v>
      </c>
      <c r="E37" s="4" t="inlineStr">
        <is>
          <t>Active</t>
        </is>
      </c>
    </row>
    <row r="38">
      <c r="A38" s="4" t="inlineStr">
        <is>
          <t>Survey feedback</t>
        </is>
      </c>
      <c r="B38" s="4" t="inlineStr">
        <is>
          <t>Community Organizations</t>
        </is>
      </c>
      <c r="C38" s="4" t="inlineStr">
        <is>
          <t>mixed</t>
        </is>
      </c>
      <c r="D38" s="4" t="n"/>
      <c r="E38" s="4" t="inlineStr">
        <is>
          <t>Active</t>
        </is>
      </c>
    </row>
    <row r="39">
      <c r="A39" s="4" t="inlineStr">
        <is>
          <t>Food captured for demos (lbs)</t>
        </is>
      </c>
      <c r="B39" s="4" t="inlineStr">
        <is>
          <t>Environmental Sustainability</t>
        </is>
      </c>
      <c r="C39" s="4" t="inlineStr">
        <is>
          <t>lbs</t>
        </is>
      </c>
      <c r="D39" s="4" t="n"/>
      <c r="E39" s="4" t="inlineStr">
        <is>
          <t>Active</t>
        </is>
      </c>
    </row>
    <row r="40">
      <c r="A40" s="4" t="inlineStr">
        <is>
          <t>Health demo curriculums delivered</t>
        </is>
      </c>
      <c r="B40" s="4" t="inlineStr">
        <is>
          <t>Food Entrepreneurs</t>
        </is>
      </c>
      <c r="C40" s="4" t="inlineStr">
        <is>
          <t>count</t>
        </is>
      </c>
      <c r="D40" s="4" t="n"/>
      <c r="E40" s="4" t="inlineStr">
        <is>
          <t>Active</t>
        </is>
      </c>
    </row>
    <row r="41">
      <c r="A41" s="4" t="inlineStr">
        <is>
          <t>RD in-kind hours</t>
        </is>
      </c>
      <c r="B41" s="4" t="inlineStr">
        <is>
          <t>Community Organizations</t>
        </is>
      </c>
      <c r="C41" s="4" t="inlineStr">
        <is>
          <t>hours</t>
        </is>
      </c>
      <c r="D41" s="4" t="n"/>
      <c r="E41" s="4" t="inlineStr">
        <is>
          <t>Active</t>
        </is>
      </c>
    </row>
    <row r="43" ht="28" customHeight="1">
      <c r="A43" s="17" t="inlineStr">
        <is>
          <t>Stability</t>
        </is>
      </c>
    </row>
    <row r="44">
      <c r="A44" s="18" t="inlineStr">
        <is>
          <t>KPI</t>
        </is>
      </c>
      <c r="B44" s="18" t="inlineStr">
        <is>
          <t>Audience</t>
        </is>
      </c>
      <c r="C44" s="18" t="inlineStr">
        <is>
          <t>Unit</t>
        </is>
      </c>
      <c r="D44" s="18" t="inlineStr">
        <is>
          <t>2026 Target</t>
        </is>
      </c>
      <c r="E44" s="18" t="inlineStr">
        <is>
          <t>Status</t>
        </is>
      </c>
    </row>
    <row r="45">
      <c r="A45" s="4" t="inlineStr">
        <is>
          <t>Avg % sales increase for members</t>
        </is>
      </c>
      <c r="B45" s="4" t="inlineStr">
        <is>
          <t>Food Entrepreneurs</t>
        </is>
      </c>
      <c r="C45" s="4" t="inlineStr">
        <is>
          <t>%</t>
        </is>
      </c>
      <c r="D45" s="4" t="n"/>
      <c r="E45" s="4" t="inlineStr">
        <is>
          <t>Active</t>
        </is>
      </c>
    </row>
    <row r="46">
      <c r="A46" s="4" t="inlineStr">
        <is>
          <t>Kitchen hours rented</t>
        </is>
      </c>
      <c r="B46" s="4" t="inlineStr">
        <is>
          <t>Food Entrepreneurs</t>
        </is>
      </c>
      <c r="C46" s="4" t="inlineStr">
        <is>
          <t>hours</t>
        </is>
      </c>
      <c r="D46" s="4" t="n">
        <v>1500</v>
      </c>
      <c r="E46" s="4" t="inlineStr">
        <is>
          <t>Active</t>
        </is>
      </c>
    </row>
    <row r="47">
      <c r="A47" s="4" t="inlineStr">
        <is>
          <t>Jobs created by member businesses</t>
        </is>
      </c>
      <c r="B47" s="4" t="inlineStr">
        <is>
          <t>Food Entrepreneurs</t>
        </is>
      </c>
      <c r="C47" s="4" t="inlineStr">
        <is>
          <t>count</t>
        </is>
      </c>
      <c r="D47" s="4" t="n"/>
      <c r="E47" s="4" t="inlineStr">
        <is>
          <t>Active</t>
        </is>
      </c>
    </row>
    <row r="48">
      <c r="A48" s="4" t="inlineStr">
        <is>
          <t>Cross-institution connections</t>
        </is>
      </c>
      <c r="B48" s="4" t="inlineStr">
        <is>
          <t>Institution</t>
        </is>
      </c>
      <c r="C48" s="4" t="inlineStr">
        <is>
          <t>count</t>
        </is>
      </c>
      <c r="D48" s="4" t="n">
        <v>4</v>
      </c>
      <c r="E48" s="4" t="inlineStr">
        <is>
          <t>Active</t>
        </is>
      </c>
    </row>
    <row r="49">
      <c r="A49" s="4" t="inlineStr">
        <is>
          <t>TA partnerships</t>
        </is>
      </c>
      <c r="B49" s="4" t="inlineStr">
        <is>
          <t>Institution</t>
        </is>
      </c>
      <c r="C49" s="4" t="inlineStr">
        <is>
          <t>count</t>
        </is>
      </c>
      <c r="D49" s="4" t="n">
        <v>3</v>
      </c>
      <c r="E49" s="4" t="inlineStr">
        <is>
          <t>Active</t>
        </is>
      </c>
    </row>
    <row r="50">
      <c r="A50" s="4" t="inlineStr">
        <is>
          <t>Community volunteer hours</t>
        </is>
      </c>
      <c r="B50" s="4" t="inlineStr">
        <is>
          <t>Community Organizations</t>
        </is>
      </c>
      <c r="C50" s="4" t="inlineStr">
        <is>
          <t>hours</t>
        </is>
      </c>
      <c r="D50" s="4" t="n"/>
      <c r="E50" s="4" t="inlineStr">
        <is>
          <t>Active</t>
        </is>
      </c>
    </row>
    <row r="51">
      <c r="A51" s="4" t="inlineStr">
        <is>
          <t>Sectors engaged at HARVEST</t>
        </is>
      </c>
      <c r="B51" s="4" t="inlineStr">
        <is>
          <t>Community Organizations</t>
        </is>
      </c>
      <c r="C51" s="4" t="inlineStr">
        <is>
          <t>count</t>
        </is>
      </c>
      <c r="D51" s="4" t="n">
        <v>5</v>
      </c>
      <c r="E51" s="4" t="inlineStr">
        <is>
          <t>Active</t>
        </is>
      </c>
    </row>
    <row r="52">
      <c r="A52" s="4" t="inlineStr">
        <is>
          <t>Grants and partnerships secured</t>
        </is>
      </c>
      <c r="B52" s="4" t="inlineStr">
        <is>
          <t>Investors-Funders</t>
        </is>
      </c>
      <c r="C52" s="4" t="inlineStr">
        <is>
          <t>count</t>
        </is>
      </c>
      <c r="D52" s="4" t="n">
        <v>4</v>
      </c>
      <c r="E52" s="4" t="inlineStr">
        <is>
          <t>Active</t>
        </is>
      </c>
    </row>
    <row r="53">
      <c r="A53" s="4" t="inlineStr">
        <is>
          <t>% earned revenue</t>
        </is>
      </c>
      <c r="B53" s="4" t="inlineStr">
        <is>
          <t>Investors-Funders</t>
        </is>
      </c>
      <c r="C53" s="4" t="inlineStr">
        <is>
          <t>%</t>
        </is>
      </c>
      <c r="D53" s="4" t="n"/>
      <c r="E53" s="4" t="inlineStr">
        <is>
          <t>Active</t>
        </is>
      </c>
    </row>
    <row r="54">
      <c r="A54" s="4" t="inlineStr">
        <is>
          <t>Funders and sponsors</t>
        </is>
      </c>
      <c r="B54" s="4" t="inlineStr">
        <is>
          <t>Investors-Funders</t>
        </is>
      </c>
      <c r="C54" s="4" t="inlineStr">
        <is>
          <t>count</t>
        </is>
      </c>
      <c r="D54" s="4" t="n"/>
      <c r="E54" s="4" t="inlineStr">
        <is>
          <t>Active</t>
        </is>
      </c>
    </row>
    <row r="55">
      <c r="A55" s="4" t="inlineStr">
        <is>
          <t>Leveraged capital ($)</t>
        </is>
      </c>
      <c r="B55" s="4" t="inlineStr">
        <is>
          <t>Investors-Funders</t>
        </is>
      </c>
      <c r="C55" s="4" t="inlineStr">
        <is>
          <t>$</t>
        </is>
      </c>
      <c r="D55" s="4" t="n"/>
      <c r="E55" s="4" t="inlineStr">
        <is>
          <t>Active</t>
        </is>
      </c>
    </row>
    <row r="56">
      <c r="A56" s="4" t="inlineStr">
        <is>
          <t>Social return on investment (SROI)</t>
        </is>
      </c>
      <c r="B56" s="4" t="inlineStr">
        <is>
          <t>Investors-Funders</t>
        </is>
      </c>
      <c r="C56" s="4" t="inlineStr">
        <is>
          <t>ratio</t>
        </is>
      </c>
      <c r="D56" s="4" t="n"/>
      <c r="E56" s="4" t="inlineStr">
        <is>
          <t>Planned — methodology TBD</t>
        </is>
      </c>
    </row>
    <row r="57">
      <c r="A57" s="4" t="inlineStr">
        <is>
          <t>JSC meetings held</t>
        </is>
      </c>
      <c r="B57" s="4" t="inlineStr">
        <is>
          <t>Investors-Funders</t>
        </is>
      </c>
      <c r="C57" s="4" t="inlineStr">
        <is>
          <t>count</t>
        </is>
      </c>
      <c r="D57" s="4" t="n">
        <v>10</v>
      </c>
      <c r="E57" s="4" t="inlineStr">
        <is>
          <t>Active</t>
        </is>
      </c>
    </row>
    <row r="58">
      <c r="A58" s="4" t="inlineStr">
        <is>
          <t>CAB members onboarded</t>
        </is>
      </c>
      <c r="B58" s="4" t="inlineStr">
        <is>
          <t>Investors-Funders</t>
        </is>
      </c>
      <c r="C58" s="4" t="inlineStr">
        <is>
          <t>count</t>
        </is>
      </c>
      <c r="D58" s="4" t="n">
        <v>10</v>
      </c>
      <c r="E58" s="4" t="inlineStr">
        <is>
          <t>Active</t>
        </is>
      </c>
    </row>
    <row r="59">
      <c r="A59" s="4" t="inlineStr">
        <is>
          <t>CAB meetings held</t>
        </is>
      </c>
      <c r="B59" s="4" t="inlineStr">
        <is>
          <t>Investors-Funders</t>
        </is>
      </c>
      <c r="C59" s="4" t="inlineStr">
        <is>
          <t>count</t>
        </is>
      </c>
      <c r="D59" s="4" t="n">
        <v>2</v>
      </c>
      <c r="E59" s="4" t="inlineStr">
        <is>
          <t>Active</t>
        </is>
      </c>
    </row>
    <row r="60">
      <c r="A60" s="4" t="inlineStr">
        <is>
          <t>Farms engaged</t>
        </is>
      </c>
      <c r="B60" s="4" t="inlineStr">
        <is>
          <t>Farmers</t>
        </is>
      </c>
      <c r="C60" s="4" t="inlineStr">
        <is>
          <t>count</t>
        </is>
      </c>
      <c r="D60" s="4" t="n">
        <v>4</v>
      </c>
      <c r="E60" s="4" t="inlineStr">
        <is>
          <t>Active</t>
        </is>
      </c>
    </row>
    <row r="61">
      <c r="A61" s="4" t="inlineStr">
        <is>
          <t>$ farmer business via HARVEST</t>
        </is>
      </c>
      <c r="B61" s="4" t="inlineStr">
        <is>
          <t>Farmers</t>
        </is>
      </c>
      <c r="C61" s="4" t="inlineStr">
        <is>
          <t>$</t>
        </is>
      </c>
      <c r="D61" s="4" t="n"/>
      <c r="E61" s="4" t="inlineStr">
        <is>
          <t>Active</t>
        </is>
      </c>
    </row>
    <row r="62">
      <c r="A62" s="4" t="inlineStr">
        <is>
          <t>Farmers making value-added products</t>
        </is>
      </c>
      <c r="B62" s="4" t="inlineStr">
        <is>
          <t>Farmers</t>
        </is>
      </c>
      <c r="C62" s="4" t="inlineStr">
        <is>
          <t>count</t>
        </is>
      </c>
      <c r="D62" s="4" t="n"/>
      <c r="E62" s="4" t="inlineStr">
        <is>
          <t>Active</t>
        </is>
      </c>
    </row>
    <row r="64" ht="28" customHeight="1">
      <c r="A64" s="17" t="inlineStr">
        <is>
          <t>Agency</t>
        </is>
      </c>
    </row>
    <row r="65">
      <c r="A65" s="18" t="inlineStr">
        <is>
          <t>KPI</t>
        </is>
      </c>
      <c r="B65" s="18" t="inlineStr">
        <is>
          <t>Audience</t>
        </is>
      </c>
      <c r="C65" s="18" t="inlineStr">
        <is>
          <t>Unit</t>
        </is>
      </c>
      <c r="D65" s="18" t="inlineStr">
        <is>
          <t>2026 Target</t>
        </is>
      </c>
      <c r="E65" s="18" t="inlineStr">
        <is>
          <t>Status</t>
        </is>
      </c>
    </row>
    <row r="66">
      <c r="A66" s="4" t="inlineStr">
        <is>
          <t>Entrepreneurs engaged</t>
        </is>
      </c>
      <c r="B66" s="4" t="inlineStr">
        <is>
          <t>Food Entrepreneurs</t>
        </is>
      </c>
      <c r="C66" s="4" t="inlineStr">
        <is>
          <t>count</t>
        </is>
      </c>
      <c r="D66" s="4" t="n">
        <v>40</v>
      </c>
      <c r="E66" s="4" t="inlineStr">
        <is>
          <t>Active</t>
        </is>
      </c>
    </row>
    <row r="67">
      <c r="A67" s="4" t="inlineStr">
        <is>
          <t>Entrepreneurs converted to renting members</t>
        </is>
      </c>
      <c r="B67" s="4" t="inlineStr">
        <is>
          <t>Food Entrepreneurs</t>
        </is>
      </c>
      <c r="C67" s="4" t="inlineStr">
        <is>
          <t>count</t>
        </is>
      </c>
      <c r="D67" s="4" t="n">
        <v>8</v>
      </c>
      <c r="E67" s="4" t="inlineStr">
        <is>
          <t>Active</t>
        </is>
      </c>
    </row>
    <row r="68">
      <c r="A68" s="4" t="inlineStr">
        <is>
          <t>Avg % sales increase for members</t>
        </is>
      </c>
      <c r="B68" s="4" t="inlineStr">
        <is>
          <t>Food Entrepreneurs</t>
        </is>
      </c>
      <c r="C68" s="4" t="inlineStr">
        <is>
          <t>%</t>
        </is>
      </c>
      <c r="D68" s="4" t="n"/>
      <c r="E68" s="4" t="inlineStr">
        <is>
          <t>Active</t>
        </is>
      </c>
    </row>
    <row r="69">
      <c r="A69" s="4" t="inlineStr">
        <is>
          <t>Businesses supported</t>
        </is>
      </c>
      <c r="B69" s="4" t="inlineStr">
        <is>
          <t>Food Entrepreneurs</t>
        </is>
      </c>
      <c r="C69" s="4" t="inlineStr">
        <is>
          <t>count</t>
        </is>
      </c>
      <c r="D69" s="4" t="n">
        <v>8</v>
      </c>
      <c r="E69" s="4" t="inlineStr">
        <is>
          <t>Active</t>
        </is>
      </c>
    </row>
    <row r="70">
      <c r="A70" s="4" t="inlineStr">
        <is>
          <t>Workforce dev seminars held</t>
        </is>
      </c>
      <c r="B70" s="4" t="inlineStr">
        <is>
          <t>Food Entrepreneurs</t>
        </is>
      </c>
      <c r="C70" s="4" t="inlineStr">
        <is>
          <t>count</t>
        </is>
      </c>
      <c r="D70" s="4" t="n">
        <v>6</v>
      </c>
      <c r="E70" s="4" t="inlineStr">
        <is>
          <t>Active</t>
        </is>
      </c>
    </row>
    <row r="71">
      <c r="A71" s="4" t="inlineStr">
        <is>
          <t>Jobs created by member businesses</t>
        </is>
      </c>
      <c r="B71" s="4" t="inlineStr">
        <is>
          <t>Food Entrepreneurs</t>
        </is>
      </c>
      <c r="C71" s="4" t="inlineStr">
        <is>
          <t>count</t>
        </is>
      </c>
      <c r="D71" s="4" t="n"/>
      <c r="E71" s="4" t="inlineStr">
        <is>
          <t>Active</t>
        </is>
      </c>
    </row>
    <row r="72">
      <c r="A72" s="4" t="inlineStr">
        <is>
          <t>Events showcasing local entrepreneurs</t>
        </is>
      </c>
      <c r="B72" s="4" t="inlineStr">
        <is>
          <t>Food Entrepreneurs</t>
        </is>
      </c>
      <c r="C72" s="4" t="inlineStr">
        <is>
          <t>count</t>
        </is>
      </c>
      <c r="D72" s="4" t="n">
        <v>4</v>
      </c>
      <c r="E72" s="4" t="inlineStr">
        <is>
          <t>Active</t>
        </is>
      </c>
    </row>
    <row r="73">
      <c r="A73" s="4" t="inlineStr">
        <is>
          <t>Technical assistance sessions</t>
        </is>
      </c>
      <c r="B73" s="4" t="inlineStr">
        <is>
          <t>Food Entrepreneurs</t>
        </is>
      </c>
      <c r="C73" s="4" t="inlineStr">
        <is>
          <t>count</t>
        </is>
      </c>
      <c r="D73" s="4" t="n">
        <v>30</v>
      </c>
      <c r="E73" s="4" t="inlineStr">
        <is>
          <t>Active</t>
        </is>
      </c>
    </row>
    <row r="74">
      <c r="A74" s="4" t="inlineStr">
        <is>
          <t>Community orgs engaged</t>
        </is>
      </c>
      <c r="B74" s="4" t="inlineStr">
        <is>
          <t>Community Organizations</t>
        </is>
      </c>
      <c r="C74" s="4" t="inlineStr">
        <is>
          <t>count</t>
        </is>
      </c>
      <c r="D74" s="4" t="n">
        <v>15</v>
      </c>
      <c r="E74" s="4" t="inlineStr">
        <is>
          <t>Active</t>
        </is>
      </c>
    </row>
    <row r="75">
      <c r="A75" s="4" t="inlineStr">
        <is>
          <t>Event participants</t>
        </is>
      </c>
      <c r="B75" s="4" t="inlineStr">
        <is>
          <t>Community Organizations</t>
        </is>
      </c>
      <c r="C75" s="4" t="inlineStr">
        <is>
          <t>count</t>
        </is>
      </c>
      <c r="D75" s="4" t="n">
        <v>300</v>
      </c>
      <c r="E75" s="4" t="inlineStr">
        <is>
          <t>Active</t>
        </is>
      </c>
    </row>
    <row r="76">
      <c r="A76" s="4" t="inlineStr">
        <is>
          <t>Community volunteer hours</t>
        </is>
      </c>
      <c r="B76" s="4" t="inlineStr">
        <is>
          <t>Community Organizations</t>
        </is>
      </c>
      <c r="C76" s="4" t="inlineStr">
        <is>
          <t>hours</t>
        </is>
      </c>
      <c r="D76" s="4" t="n"/>
      <c r="E76" s="4" t="inlineStr">
        <is>
          <t>Active</t>
        </is>
      </c>
    </row>
    <row r="77">
      <c r="A77" s="4" t="inlineStr">
        <is>
          <t>Community events run by staff</t>
        </is>
      </c>
      <c r="B77" s="4" t="inlineStr">
        <is>
          <t>Community Organizations</t>
        </is>
      </c>
      <c r="C77" s="4" t="inlineStr">
        <is>
          <t>count</t>
        </is>
      </c>
      <c r="D77" s="4" t="n">
        <v>24</v>
      </c>
      <c r="E77" s="4" t="inlineStr">
        <is>
          <t>Active</t>
        </is>
      </c>
    </row>
    <row r="78">
      <c r="A78" s="4" t="inlineStr">
        <is>
          <t>Tours given</t>
        </is>
      </c>
      <c r="B78" s="4" t="inlineStr">
        <is>
          <t>Community Organizations</t>
        </is>
      </c>
      <c r="C78" s="4" t="inlineStr">
        <is>
          <t>count</t>
        </is>
      </c>
      <c r="D78" s="4" t="n">
        <v>24</v>
      </c>
      <c r="E78" s="4" t="inlineStr">
        <is>
          <t>Active</t>
        </is>
      </c>
    </row>
    <row r="79">
      <c r="A79" s="4" t="inlineStr">
        <is>
          <t>Orgs hosting events at HARVEST</t>
        </is>
      </c>
      <c r="B79" s="4" t="inlineStr">
        <is>
          <t>Community Organizations</t>
        </is>
      </c>
      <c r="C79" s="4" t="inlineStr">
        <is>
          <t>count</t>
        </is>
      </c>
      <c r="D79" s="4" t="n">
        <v>6</v>
      </c>
      <c r="E79" s="4" t="inlineStr">
        <is>
          <t>Active</t>
        </is>
      </c>
    </row>
    <row r="80">
      <c r="A80" s="4" t="inlineStr">
        <is>
          <t>Multilingual / cultural events</t>
        </is>
      </c>
      <c r="B80" s="4" t="inlineStr">
        <is>
          <t>Community Organizations</t>
        </is>
      </c>
      <c r="C80" s="4" t="inlineStr">
        <is>
          <t>count</t>
        </is>
      </c>
      <c r="D80" s="4" t="n">
        <v>6</v>
      </c>
      <c r="E80" s="4" t="inlineStr">
        <is>
          <t>Active</t>
        </is>
      </c>
    </row>
    <row r="81">
      <c r="A81" s="4" t="inlineStr">
        <is>
          <t>CAB members onboarded</t>
        </is>
      </c>
      <c r="B81" s="4" t="inlineStr">
        <is>
          <t>Investors-Funders</t>
        </is>
      </c>
      <c r="C81" s="4" t="inlineStr">
        <is>
          <t>count</t>
        </is>
      </c>
      <c r="D81" s="4" t="n">
        <v>10</v>
      </c>
      <c r="E81" s="4" t="inlineStr">
        <is>
          <t>Active</t>
        </is>
      </c>
    </row>
    <row r="82">
      <c r="A82" s="4" t="inlineStr">
        <is>
          <t>CAB meetings held</t>
        </is>
      </c>
      <c r="B82" s="4" t="inlineStr">
        <is>
          <t>Investors-Funders</t>
        </is>
      </c>
      <c r="C82" s="4" t="inlineStr">
        <is>
          <t>count</t>
        </is>
      </c>
      <c r="D82" s="4" t="n">
        <v>2</v>
      </c>
      <c r="E82" s="4" t="inlineStr">
        <is>
          <t>Active</t>
        </is>
      </c>
    </row>
    <row r="83">
      <c r="A83" s="4" t="inlineStr">
        <is>
          <t>Director community presentations</t>
        </is>
      </c>
      <c r="B83" s="4" t="inlineStr">
        <is>
          <t>Investors-Funders</t>
        </is>
      </c>
      <c r="C83" s="4" t="inlineStr">
        <is>
          <t>count</t>
        </is>
      </c>
      <c r="D83" s="4" t="n">
        <v>4</v>
      </c>
      <c r="E83" s="4" t="inlineStr">
        <is>
          <t>Active</t>
        </is>
      </c>
    </row>
    <row r="84">
      <c r="A84" s="4" t="inlineStr">
        <is>
          <t>Farms engaged</t>
        </is>
      </c>
      <c r="B84" s="4" t="inlineStr">
        <is>
          <t>Farmers</t>
        </is>
      </c>
      <c r="C84" s="4" t="inlineStr">
        <is>
          <t>count</t>
        </is>
      </c>
      <c r="D84" s="4" t="n">
        <v>4</v>
      </c>
      <c r="E84" s="4" t="inlineStr">
        <is>
          <t>Active</t>
        </is>
      </c>
    </row>
    <row r="85">
      <c r="A85" s="4" t="inlineStr">
        <is>
          <t>Farmers making value-added products</t>
        </is>
      </c>
      <c r="B85" s="4" t="inlineStr">
        <is>
          <t>Farmers</t>
        </is>
      </c>
      <c r="C85" s="4" t="inlineStr">
        <is>
          <t>count</t>
        </is>
      </c>
      <c r="D85" s="4" t="n"/>
      <c r="E85" s="4" t="inlineStr">
        <is>
          <t>Active</t>
        </is>
      </c>
    </row>
    <row r="86">
      <c r="A86" s="4" t="inlineStr">
        <is>
          <t>Health demo curriculums delivered</t>
        </is>
      </c>
      <c r="B86" s="4" t="inlineStr">
        <is>
          <t>Food Entrepreneurs</t>
        </is>
      </c>
      <c r="C86" s="4" t="inlineStr">
        <is>
          <t>count</t>
        </is>
      </c>
      <c r="D86" s="4" t="n"/>
      <c r="E86" s="4" t="inlineStr">
        <is>
          <t>Active</t>
        </is>
      </c>
    </row>
    <row r="88" ht="28" customHeight="1">
      <c r="A88" s="17" t="inlineStr">
        <is>
          <t>Sustainability</t>
        </is>
      </c>
    </row>
    <row r="89">
      <c r="A89" s="18" t="inlineStr">
        <is>
          <t>KPI</t>
        </is>
      </c>
      <c r="B89" s="18" t="inlineStr">
        <is>
          <t>Audience</t>
        </is>
      </c>
      <c r="C89" s="18" t="inlineStr">
        <is>
          <t>Unit</t>
        </is>
      </c>
      <c r="D89" s="18" t="inlineStr">
        <is>
          <t>2026 Target</t>
        </is>
      </c>
      <c r="E89" s="18" t="inlineStr">
        <is>
          <t>Status</t>
        </is>
      </c>
    </row>
    <row r="90">
      <c r="A90" s="4" t="inlineStr">
        <is>
          <t>Businesses buying local produce via UAC</t>
        </is>
      </c>
      <c r="B90" s="4" t="inlineStr">
        <is>
          <t>Food Entrepreneurs</t>
        </is>
      </c>
      <c r="C90" s="4" t="inlineStr">
        <is>
          <t>count</t>
        </is>
      </c>
      <c r="D90" s="4" t="n">
        <v>3</v>
      </c>
      <c r="E90" s="4" t="inlineStr">
        <is>
          <t>Active</t>
        </is>
      </c>
    </row>
    <row r="91">
      <c r="A91" s="4" t="inlineStr">
        <is>
          <t>Food recovery to service providers (lbs)</t>
        </is>
      </c>
      <c r="B91" s="4" t="inlineStr">
        <is>
          <t>Community Organizations</t>
        </is>
      </c>
      <c r="C91" s="4" t="inlineStr">
        <is>
          <t>lbs</t>
        </is>
      </c>
      <c r="D91" s="4" t="n">
        <v>500</v>
      </c>
      <c r="E91" s="4" t="inlineStr">
        <is>
          <t>Active</t>
        </is>
      </c>
    </row>
    <row r="92">
      <c r="A92" s="4" t="inlineStr">
        <is>
          <t>% earned revenue</t>
        </is>
      </c>
      <c r="B92" s="4" t="inlineStr">
        <is>
          <t>Investors-Funders</t>
        </is>
      </c>
      <c r="C92" s="4" t="inlineStr">
        <is>
          <t>%</t>
        </is>
      </c>
      <c r="D92" s="4" t="n"/>
      <c r="E92" s="4" t="inlineStr">
        <is>
          <t>Active</t>
        </is>
      </c>
    </row>
    <row r="93">
      <c r="A93" s="4" t="inlineStr">
        <is>
          <t>Leveraged capital ($)</t>
        </is>
      </c>
      <c r="B93" s="4" t="inlineStr">
        <is>
          <t>Investors-Funders</t>
        </is>
      </c>
      <c r="C93" s="4" t="inlineStr">
        <is>
          <t>$</t>
        </is>
      </c>
      <c r="D93" s="4" t="n"/>
      <c r="E93" s="4" t="inlineStr">
        <is>
          <t>Active</t>
        </is>
      </c>
    </row>
    <row r="94">
      <c r="A94" s="4" t="inlineStr">
        <is>
          <t>Social return on investment (SROI)</t>
        </is>
      </c>
      <c r="B94" s="4" t="inlineStr">
        <is>
          <t>Investors-Funders</t>
        </is>
      </c>
      <c r="C94" s="4" t="inlineStr">
        <is>
          <t>ratio</t>
        </is>
      </c>
      <c r="D94" s="4" t="n"/>
      <c r="E94" s="4" t="inlineStr">
        <is>
          <t>Planned — methodology TBD</t>
        </is>
      </c>
    </row>
    <row r="95">
      <c r="A95" s="4" t="inlineStr">
        <is>
          <t>Food waste diversion (lbs)</t>
        </is>
      </c>
      <c r="B95" s="4" t="inlineStr">
        <is>
          <t>Environmental Sustainability</t>
        </is>
      </c>
      <c r="C95" s="4" t="inlineStr">
        <is>
          <t>lbs</t>
        </is>
      </c>
      <c r="D95" s="4" t="n">
        <v>1000</v>
      </c>
      <c r="E95" s="4" t="inlineStr">
        <is>
          <t>Active</t>
        </is>
      </c>
    </row>
    <row r="96">
      <c r="A96" s="4" t="inlineStr">
        <is>
          <t>Composted (lbs)</t>
        </is>
      </c>
      <c r="B96" s="4" t="inlineStr">
        <is>
          <t>Environmental Sustainability</t>
        </is>
      </c>
      <c r="C96" s="4" t="inlineStr">
        <is>
          <t>lbs</t>
        </is>
      </c>
      <c r="D96" s="4" t="n"/>
      <c r="E96" s="4" t="inlineStr">
        <is>
          <t>Active</t>
        </is>
      </c>
    </row>
    <row r="97">
      <c r="A97" s="4" t="inlineStr">
        <is>
          <t>Local food miles (avg)</t>
        </is>
      </c>
      <c r="B97" s="4" t="inlineStr">
        <is>
          <t>Environmental Sustainability</t>
        </is>
      </c>
      <c r="C97" s="4" t="inlineStr">
        <is>
          <t>miles</t>
        </is>
      </c>
      <c r="D97" s="4" t="n"/>
      <c r="E97" s="4" t="inlineStr">
        <is>
          <t>Active</t>
        </is>
      </c>
    </row>
    <row r="98">
      <c r="A98" s="4" t="inlineStr">
        <is>
          <t>Food captured for demos (lbs)</t>
        </is>
      </c>
      <c r="B98" s="4" t="inlineStr">
        <is>
          <t>Environmental Sustainability</t>
        </is>
      </c>
      <c r="C98" s="4" t="inlineStr">
        <is>
          <t>lbs</t>
        </is>
      </c>
      <c r="D98" s="4" t="n"/>
      <c r="E98" s="4" t="inlineStr">
        <is>
          <t>Active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">
    <mergeCell ref="A29:E29"/>
    <mergeCell ref="A4:E4"/>
    <mergeCell ref="A43:E43"/>
    <mergeCell ref="A2:E2"/>
    <mergeCell ref="A64:E64"/>
    <mergeCell ref="A1:E1"/>
    <mergeCell ref="A13:E13"/>
    <mergeCell ref="A88:E8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14" customWidth="1" min="3" max="3"/>
    <col width="12" customWidth="1" min="4" max="4"/>
    <col width="28" customWidth="1" min="5" max="5"/>
  </cols>
  <sheetData>
    <row r="1" ht="36" customHeight="1">
      <c r="A1" s="19" t="inlineStr">
        <is>
          <t>HARVEST — By Audience</t>
        </is>
      </c>
    </row>
    <row r="2">
      <c r="A2" s="20" t="inlineStr">
        <is>
          <t>KPIs by audience. Filter for audience-specific reports.</t>
        </is>
      </c>
    </row>
    <row r="4" ht="28" customHeight="1">
      <c r="A4" s="17" t="inlineStr">
        <is>
          <t>Food Entrepreneurs</t>
        </is>
      </c>
    </row>
    <row r="5">
      <c r="A5" s="18" t="inlineStr">
        <is>
          <t>KPI</t>
        </is>
      </c>
      <c r="B5" s="18" t="inlineStr">
        <is>
          <t>Unit</t>
        </is>
      </c>
      <c r="C5" s="18" t="inlineStr">
        <is>
          <t>Cadence</t>
        </is>
      </c>
      <c r="D5" s="18" t="inlineStr">
        <is>
          <t>2026 Target</t>
        </is>
      </c>
      <c r="E5" s="18" t="inlineStr">
        <is>
          <t>Owner</t>
        </is>
      </c>
    </row>
    <row r="6">
      <c r="A6" s="4" t="inlineStr">
        <is>
          <t>Entrepreneurs engaged</t>
        </is>
      </c>
      <c r="B6" s="4" t="inlineStr">
        <is>
          <t>count</t>
        </is>
      </c>
      <c r="C6" s="4" t="inlineStr">
        <is>
          <t>Monthly</t>
        </is>
      </c>
      <c r="D6" s="4" t="n">
        <v>40</v>
      </c>
      <c r="E6" s="4" t="inlineStr">
        <is>
          <t>Community Outreach Specialist</t>
        </is>
      </c>
    </row>
    <row r="7">
      <c r="A7" s="4" t="inlineStr">
        <is>
          <t>Entrepreneurs converted to renting members</t>
        </is>
      </c>
      <c r="B7" s="4" t="inlineStr">
        <is>
          <t>count</t>
        </is>
      </c>
      <c r="C7" s="4" t="inlineStr">
        <is>
          <t>Monthly</t>
        </is>
      </c>
      <c r="D7" s="4" t="n">
        <v>8</v>
      </c>
      <c r="E7" s="4" t="inlineStr">
        <is>
          <t>Logistics Manager</t>
        </is>
      </c>
    </row>
    <row r="8">
      <c r="A8" s="4" t="inlineStr">
        <is>
          <t>% members achieving ServSafe</t>
        </is>
      </c>
      <c r="B8" s="4" t="inlineStr">
        <is>
          <t>%</t>
        </is>
      </c>
      <c r="C8" s="4" t="inlineStr">
        <is>
          <t>Per training</t>
        </is>
      </c>
      <c r="D8" s="4" t="n">
        <v>100</v>
      </c>
      <c r="E8" s="4" t="inlineStr">
        <is>
          <t>Culinary Manager</t>
        </is>
      </c>
    </row>
    <row r="9">
      <c r="A9" s="4" t="inlineStr">
        <is>
          <t>Avg % sales increase for members</t>
        </is>
      </c>
      <c r="B9" s="4" t="inlineStr">
        <is>
          <t>%</t>
        </is>
      </c>
      <c r="C9" s="4" t="inlineStr">
        <is>
          <t>Quarterly</t>
        </is>
      </c>
      <c r="D9" s="4" t="n"/>
      <c r="E9" s="4" t="inlineStr">
        <is>
          <t>Director</t>
        </is>
      </c>
    </row>
    <row r="10">
      <c r="A10" s="4" t="inlineStr">
        <is>
          <t>Businesses supported</t>
        </is>
      </c>
      <c r="B10" s="4" t="inlineStr">
        <is>
          <t>count</t>
        </is>
      </c>
      <c r="C10" s="4" t="inlineStr">
        <is>
          <t>Monthly</t>
        </is>
      </c>
      <c r="D10" s="4" t="n">
        <v>8</v>
      </c>
      <c r="E10" s="4" t="inlineStr">
        <is>
          <t>Director</t>
        </is>
      </c>
    </row>
    <row r="11">
      <c r="A11" s="4" t="inlineStr">
        <is>
          <t>Workforce dev seminars held</t>
        </is>
      </c>
      <c r="B11" s="4" t="inlineStr">
        <is>
          <t>count</t>
        </is>
      </c>
      <c r="C11" s="4" t="inlineStr">
        <is>
          <t>Per event</t>
        </is>
      </c>
      <c r="D11" s="4" t="n">
        <v>6</v>
      </c>
      <c r="E11" s="4" t="inlineStr">
        <is>
          <t>Culinary Manager</t>
        </is>
      </c>
    </row>
    <row r="12">
      <c r="A12" s="4" t="inlineStr">
        <is>
          <t>Kitchen hours rented</t>
        </is>
      </c>
      <c r="B12" s="4" t="inlineStr">
        <is>
          <t>hours</t>
        </is>
      </c>
      <c r="C12" s="4" t="inlineStr">
        <is>
          <t>Real-time</t>
        </is>
      </c>
      <c r="D12" s="4" t="n">
        <v>1500</v>
      </c>
      <c r="E12" s="4" t="inlineStr">
        <is>
          <t>Logistics Manager</t>
        </is>
      </c>
    </row>
    <row r="13">
      <c r="A13" s="4" t="inlineStr">
        <is>
          <t>Jobs created by member businesses</t>
        </is>
      </c>
      <c r="B13" s="4" t="inlineStr">
        <is>
          <t>count</t>
        </is>
      </c>
      <c r="C13" s="4" t="inlineStr">
        <is>
          <t>Quarterly</t>
        </is>
      </c>
      <c r="D13" s="4" t="n"/>
      <c r="E13" s="4" t="inlineStr">
        <is>
          <t>Director</t>
        </is>
      </c>
    </row>
    <row r="14">
      <c r="A14" s="4" t="inlineStr">
        <is>
          <t>Businesses buying local produce via UAC</t>
        </is>
      </c>
      <c r="B14" s="4" t="inlineStr">
        <is>
          <t>count</t>
        </is>
      </c>
      <c r="C14" s="4" t="inlineStr">
        <is>
          <t>Monthly</t>
        </is>
      </c>
      <c r="D14" s="4" t="n">
        <v>3</v>
      </c>
      <c r="E14" s="4" t="inlineStr">
        <is>
          <t>Director</t>
        </is>
      </c>
    </row>
    <row r="15">
      <c r="A15" s="4" t="inlineStr">
        <is>
          <t>Events showcasing local entrepreneurs</t>
        </is>
      </c>
      <c r="B15" s="4" t="inlineStr">
        <is>
          <t>count</t>
        </is>
      </c>
      <c r="C15" s="4" t="inlineStr">
        <is>
          <t>Per event</t>
        </is>
      </c>
      <c r="D15" s="4" t="n">
        <v>4</v>
      </c>
      <c r="E15" s="4" t="inlineStr">
        <is>
          <t>Community Outreach Specialist</t>
        </is>
      </c>
    </row>
    <row r="16">
      <c r="A16" s="4" t="inlineStr">
        <is>
          <t>Technical assistance sessions</t>
        </is>
      </c>
      <c r="B16" s="4" t="inlineStr">
        <is>
          <t>count</t>
        </is>
      </c>
      <c r="C16" s="4" t="inlineStr">
        <is>
          <t>Per session</t>
        </is>
      </c>
      <c r="D16" s="4" t="n">
        <v>30</v>
      </c>
      <c r="E16" s="4" t="inlineStr">
        <is>
          <t>Culinary Manager</t>
        </is>
      </c>
    </row>
    <row r="17">
      <c r="A17" s="4" t="inlineStr">
        <is>
          <t>Businesses receiving wellness coaching</t>
        </is>
      </c>
      <c r="B17" s="4" t="inlineStr">
        <is>
          <t>count</t>
        </is>
      </c>
      <c r="C17" s="4" t="inlineStr">
        <is>
          <t>Per session</t>
        </is>
      </c>
      <c r="D17" s="4" t="n"/>
      <c r="E17" s="4" t="inlineStr">
        <is>
          <t>Culinary Manager</t>
        </is>
      </c>
    </row>
    <row r="18">
      <c r="A18" s="4" t="inlineStr">
        <is>
          <t>Health demo curriculums delivered</t>
        </is>
      </c>
      <c r="B18" s="4" t="inlineStr">
        <is>
          <t>count</t>
        </is>
      </c>
      <c r="C18" s="4" t="inlineStr">
        <is>
          <t>Per event</t>
        </is>
      </c>
      <c r="D18" s="4" t="n"/>
      <c r="E18" s="4" t="inlineStr">
        <is>
          <t>Culinary Manager</t>
        </is>
      </c>
    </row>
    <row r="20" ht="28" customHeight="1">
      <c r="A20" s="17" t="inlineStr">
        <is>
          <t>Institution</t>
        </is>
      </c>
    </row>
    <row r="21">
      <c r="A21" s="18" t="inlineStr">
        <is>
          <t>KPI</t>
        </is>
      </c>
      <c r="B21" s="18" t="inlineStr">
        <is>
          <t>Unit</t>
        </is>
      </c>
      <c r="C21" s="18" t="inlineStr">
        <is>
          <t>Cadence</t>
        </is>
      </c>
      <c r="D21" s="18" t="inlineStr">
        <is>
          <t>2026 Target</t>
        </is>
      </c>
      <c r="E21" s="18" t="inlineStr">
        <is>
          <t>Owner</t>
        </is>
      </c>
    </row>
    <row r="22">
      <c r="A22" s="4" t="inlineStr">
        <is>
          <t>$ purchasing orders from HARVEST/UAC vendors</t>
        </is>
      </c>
      <c r="B22" s="4" t="inlineStr">
        <is>
          <t>$</t>
        </is>
      </c>
      <c r="C22" s="4" t="inlineStr">
        <is>
          <t>Monthly</t>
        </is>
      </c>
      <c r="D22" s="4" t="n"/>
      <c r="E22" s="4" t="inlineStr">
        <is>
          <t>Director</t>
        </is>
      </c>
    </row>
    <row r="23">
      <c r="A23" s="4" t="inlineStr">
        <is>
          <t>HARVEST-produced items on institutional menus</t>
        </is>
      </c>
      <c r="B23" s="4" t="inlineStr">
        <is>
          <t>count</t>
        </is>
      </c>
      <c r="C23" s="4" t="inlineStr">
        <is>
          <t>Quarterly</t>
        </is>
      </c>
      <c r="D23" s="4" t="n"/>
      <c r="E23" s="4" t="inlineStr">
        <is>
          <t>Director</t>
        </is>
      </c>
    </row>
    <row r="24">
      <c r="A24" s="4" t="inlineStr">
        <is>
          <t>Cross-institution connections</t>
        </is>
      </c>
      <c r="B24" s="4" t="inlineStr">
        <is>
          <t>count</t>
        </is>
      </c>
      <c r="C24" s="4" t="inlineStr">
        <is>
          <t>Quarterly</t>
        </is>
      </c>
      <c r="D24" s="4" t="n">
        <v>4</v>
      </c>
      <c r="E24" s="4" t="inlineStr">
        <is>
          <t>Director</t>
        </is>
      </c>
    </row>
    <row r="25">
      <c r="A25" s="4" t="inlineStr">
        <is>
          <t>TA partnerships</t>
        </is>
      </c>
      <c r="B25" s="4" t="inlineStr">
        <is>
          <t>count</t>
        </is>
      </c>
      <c r="C25" s="4" t="inlineStr">
        <is>
          <t>Quarterly</t>
        </is>
      </c>
      <c r="D25" s="4" t="n">
        <v>3</v>
      </c>
      <c r="E25" s="4" t="inlineStr">
        <is>
          <t>Director</t>
        </is>
      </c>
    </row>
    <row r="26">
      <c r="A26" s="4" t="inlineStr">
        <is>
          <t>Reduction in readmission costs</t>
        </is>
      </c>
      <c r="B26" s="4" t="inlineStr">
        <is>
          <t>$</t>
        </is>
      </c>
      <c r="C26" s="4" t="inlineStr">
        <is>
          <t>Annual</t>
        </is>
      </c>
      <c r="D26" s="4" t="n"/>
      <c r="E26" s="4" t="inlineStr">
        <is>
          <t>Director</t>
        </is>
      </c>
    </row>
    <row r="28" ht="28" customHeight="1">
      <c r="A28" s="17" t="inlineStr">
        <is>
          <t>Community Organizations</t>
        </is>
      </c>
    </row>
    <row r="29">
      <c r="A29" s="18" t="inlineStr">
        <is>
          <t>KPI</t>
        </is>
      </c>
      <c r="B29" s="18" t="inlineStr">
        <is>
          <t>Unit</t>
        </is>
      </c>
      <c r="C29" s="18" t="inlineStr">
        <is>
          <t>Cadence</t>
        </is>
      </c>
      <c r="D29" s="18" t="inlineStr">
        <is>
          <t>2026 Target</t>
        </is>
      </c>
      <c r="E29" s="18" t="inlineStr">
        <is>
          <t>Owner</t>
        </is>
      </c>
    </row>
    <row r="30">
      <c r="A30" s="4" t="inlineStr">
        <is>
          <t>Community orgs engaged</t>
        </is>
      </c>
      <c r="B30" s="4" t="inlineStr">
        <is>
          <t>count</t>
        </is>
      </c>
      <c r="C30" s="4" t="inlineStr">
        <is>
          <t>Monthly</t>
        </is>
      </c>
      <c r="D30" s="4" t="n">
        <v>15</v>
      </c>
      <c r="E30" s="4" t="inlineStr">
        <is>
          <t>Community Outreach Specialist</t>
        </is>
      </c>
    </row>
    <row r="31">
      <c r="A31" s="4" t="inlineStr">
        <is>
          <t>Event participants</t>
        </is>
      </c>
      <c r="B31" s="4" t="inlineStr">
        <is>
          <t>count</t>
        </is>
      </c>
      <c r="C31" s="4" t="inlineStr">
        <is>
          <t>Per event</t>
        </is>
      </c>
      <c r="D31" s="4" t="n">
        <v>300</v>
      </c>
      <c r="E31" s="4" t="inlineStr">
        <is>
          <t>Community Outreach Specialist</t>
        </is>
      </c>
    </row>
    <row r="32">
      <c r="A32" s="4" t="inlineStr">
        <is>
          <t>Community volunteer hours</t>
        </is>
      </c>
      <c r="B32" s="4" t="inlineStr">
        <is>
          <t>hours</t>
        </is>
      </c>
      <c r="C32" s="4" t="inlineStr">
        <is>
          <t>Per event</t>
        </is>
      </c>
      <c r="D32" s="4" t="n"/>
      <c r="E32" s="4" t="inlineStr">
        <is>
          <t>Community Outreach Specialist</t>
        </is>
      </c>
    </row>
    <row r="33">
      <c r="A33" s="4" t="inlineStr">
        <is>
          <t>Community events run by staff</t>
        </is>
      </c>
      <c r="B33" s="4" t="inlineStr">
        <is>
          <t>count</t>
        </is>
      </c>
      <c r="C33" s="4" t="inlineStr">
        <is>
          <t>Per event</t>
        </is>
      </c>
      <c r="D33" s="4" t="n">
        <v>24</v>
      </c>
      <c r="E33" s="4" t="inlineStr">
        <is>
          <t>Community Outreach Specialist</t>
        </is>
      </c>
    </row>
    <row r="34">
      <c r="A34" s="4" t="inlineStr">
        <is>
          <t>Survey feedback</t>
        </is>
      </c>
      <c r="B34" s="4" t="inlineStr">
        <is>
          <t>mixed</t>
        </is>
      </c>
      <c r="C34" s="4" t="inlineStr">
        <is>
          <t>Per event</t>
        </is>
      </c>
      <c r="D34" s="4" t="n"/>
      <c r="E34" s="4" t="inlineStr">
        <is>
          <t>Community Outreach Specialist</t>
        </is>
      </c>
    </row>
    <row r="35">
      <c r="A35" s="4" t="inlineStr">
        <is>
          <t>Tours given</t>
        </is>
      </c>
      <c r="B35" s="4" t="inlineStr">
        <is>
          <t>count</t>
        </is>
      </c>
      <c r="C35" s="4" t="inlineStr">
        <is>
          <t>Per event</t>
        </is>
      </c>
      <c r="D35" s="4" t="n">
        <v>24</v>
      </c>
      <c r="E35" s="4" t="inlineStr">
        <is>
          <t>Community Outreach Specialist</t>
        </is>
      </c>
    </row>
    <row r="36">
      <c r="A36" s="4" t="inlineStr">
        <is>
          <t>Orgs hosting events at HARVEST</t>
        </is>
      </c>
      <c r="B36" s="4" t="inlineStr">
        <is>
          <t>count</t>
        </is>
      </c>
      <c r="C36" s="4" t="inlineStr">
        <is>
          <t>Per event</t>
        </is>
      </c>
      <c r="D36" s="4" t="n">
        <v>6</v>
      </c>
      <c r="E36" s="4" t="inlineStr">
        <is>
          <t>Community Outreach Specialist</t>
        </is>
      </c>
    </row>
    <row r="37">
      <c r="A37" s="4" t="inlineStr">
        <is>
          <t>Sectors engaged at HARVEST</t>
        </is>
      </c>
      <c r="B37" s="4" t="inlineStr">
        <is>
          <t>count</t>
        </is>
      </c>
      <c r="C37" s="4" t="inlineStr">
        <is>
          <t>Quarterly</t>
        </is>
      </c>
      <c r="D37" s="4" t="n">
        <v>5</v>
      </c>
      <c r="E37" s="4" t="inlineStr">
        <is>
          <t>Director</t>
        </is>
      </c>
    </row>
    <row r="38">
      <c r="A38" s="4" t="inlineStr">
        <is>
          <t>Multilingual / cultural events</t>
        </is>
      </c>
      <c r="B38" s="4" t="inlineStr">
        <is>
          <t>count</t>
        </is>
      </c>
      <c r="C38" s="4" t="inlineStr">
        <is>
          <t>Per event</t>
        </is>
      </c>
      <c r="D38" s="4" t="n">
        <v>6</v>
      </c>
      <c r="E38" s="4" t="inlineStr">
        <is>
          <t>Community Outreach Specialist</t>
        </is>
      </c>
    </row>
    <row r="39">
      <c r="A39" s="4" t="inlineStr">
        <is>
          <t>Food recovery to service providers (lbs)</t>
        </is>
      </c>
      <c r="B39" s="4" t="inlineStr">
        <is>
          <t>lbs</t>
        </is>
      </c>
      <c r="C39" s="4" t="inlineStr">
        <is>
          <t>Per event</t>
        </is>
      </c>
      <c r="D39" s="4" t="n">
        <v>500</v>
      </c>
      <c r="E39" s="4" t="inlineStr">
        <is>
          <t>Community Outreach Specialist</t>
        </is>
      </c>
    </row>
    <row r="40">
      <c r="A40" s="4" t="inlineStr">
        <is>
          <t>DSPs with presence at HARVEST</t>
        </is>
      </c>
      <c r="B40" s="4" t="inlineStr">
        <is>
          <t>count</t>
        </is>
      </c>
      <c r="C40" s="4" t="inlineStr">
        <is>
          <t>Quarterly</t>
        </is>
      </c>
      <c r="D40" s="4" t="n">
        <v>3</v>
      </c>
      <c r="E40" s="4" t="inlineStr">
        <is>
          <t>Community Outreach Specialist</t>
        </is>
      </c>
    </row>
    <row r="41">
      <c r="A41" s="4" t="inlineStr">
        <is>
          <t>RD in-kind hours</t>
        </is>
      </c>
      <c r="B41" s="4" t="inlineStr">
        <is>
          <t>hours</t>
        </is>
      </c>
      <c r="C41" s="4" t="inlineStr">
        <is>
          <t>Per event</t>
        </is>
      </c>
      <c r="D41" s="4" t="n"/>
      <c r="E41" s="4" t="inlineStr">
        <is>
          <t>Culinary Manager</t>
        </is>
      </c>
    </row>
    <row r="43" ht="28" customHeight="1">
      <c r="A43" s="17" t="inlineStr">
        <is>
          <t>Investors-Funders</t>
        </is>
      </c>
    </row>
    <row r="44">
      <c r="A44" s="18" t="inlineStr">
        <is>
          <t>KPI</t>
        </is>
      </c>
      <c r="B44" s="18" t="inlineStr">
        <is>
          <t>Unit</t>
        </is>
      </c>
      <c r="C44" s="18" t="inlineStr">
        <is>
          <t>Cadence</t>
        </is>
      </c>
      <c r="D44" s="18" t="inlineStr">
        <is>
          <t>2026 Target</t>
        </is>
      </c>
      <c r="E44" s="18" t="inlineStr">
        <is>
          <t>Owner</t>
        </is>
      </c>
    </row>
    <row r="45">
      <c r="A45" s="4" t="inlineStr">
        <is>
          <t>Grants and partnerships secured</t>
        </is>
      </c>
      <c r="B45" s="4" t="inlineStr">
        <is>
          <t>count</t>
        </is>
      </c>
      <c r="C45" s="4" t="inlineStr">
        <is>
          <t>Per event</t>
        </is>
      </c>
      <c r="D45" s="4" t="n">
        <v>4</v>
      </c>
      <c r="E45" s="4" t="inlineStr">
        <is>
          <t>Director</t>
        </is>
      </c>
    </row>
    <row r="46">
      <c r="A46" s="4" t="inlineStr">
        <is>
          <t>% earned revenue</t>
        </is>
      </c>
      <c r="B46" s="4" t="inlineStr">
        <is>
          <t>%</t>
        </is>
      </c>
      <c r="C46" s="4" t="inlineStr">
        <is>
          <t>Quarterly</t>
        </is>
      </c>
      <c r="D46" s="4" t="n"/>
      <c r="E46" s="4" t="inlineStr">
        <is>
          <t>Director</t>
        </is>
      </c>
    </row>
    <row r="47">
      <c r="A47" s="4" t="inlineStr">
        <is>
          <t>Funders and sponsors</t>
        </is>
      </c>
      <c r="B47" s="4" t="inlineStr">
        <is>
          <t>count</t>
        </is>
      </c>
      <c r="C47" s="4" t="inlineStr">
        <is>
          <t>Quarterly</t>
        </is>
      </c>
      <c r="D47" s="4" t="n"/>
      <c r="E47" s="4" t="inlineStr">
        <is>
          <t>Director</t>
        </is>
      </c>
    </row>
    <row r="48">
      <c r="A48" s="4" t="inlineStr">
        <is>
          <t>Leveraged capital ($)</t>
        </is>
      </c>
      <c r="B48" s="4" t="inlineStr">
        <is>
          <t>$</t>
        </is>
      </c>
      <c r="C48" s="4" t="inlineStr">
        <is>
          <t>Quarterly</t>
        </is>
      </c>
      <c r="D48" s="4" t="n"/>
      <c r="E48" s="4" t="inlineStr">
        <is>
          <t>Director</t>
        </is>
      </c>
    </row>
    <row r="49">
      <c r="A49" s="4" t="inlineStr">
        <is>
          <t>Social return on investment (SROI)</t>
        </is>
      </c>
      <c r="B49" s="4" t="inlineStr">
        <is>
          <t>ratio</t>
        </is>
      </c>
      <c r="C49" s="4" t="inlineStr">
        <is>
          <t>Annual</t>
        </is>
      </c>
      <c r="D49" s="4" t="n"/>
      <c r="E49" s="4" t="inlineStr">
        <is>
          <t>Director</t>
        </is>
      </c>
    </row>
    <row r="50">
      <c r="A50" s="4" t="inlineStr">
        <is>
          <t>JSC meetings held</t>
        </is>
      </c>
      <c r="B50" s="4" t="inlineStr">
        <is>
          <t>count</t>
        </is>
      </c>
      <c r="C50" s="4" t="inlineStr">
        <is>
          <t>Per event</t>
        </is>
      </c>
      <c r="D50" s="4" t="n">
        <v>10</v>
      </c>
      <c r="E50" s="4" t="inlineStr">
        <is>
          <t>Director</t>
        </is>
      </c>
    </row>
    <row r="51">
      <c r="A51" s="4" t="inlineStr">
        <is>
          <t>CAB members onboarded</t>
        </is>
      </c>
      <c r="B51" s="4" t="inlineStr">
        <is>
          <t>count</t>
        </is>
      </c>
      <c r="C51" s="4" t="inlineStr">
        <is>
          <t>Per event</t>
        </is>
      </c>
      <c r="D51" s="4" t="n">
        <v>10</v>
      </c>
      <c r="E51" s="4" t="inlineStr">
        <is>
          <t>Director</t>
        </is>
      </c>
    </row>
    <row r="52">
      <c r="A52" s="4" t="inlineStr">
        <is>
          <t>CAB meetings held</t>
        </is>
      </c>
      <c r="B52" s="4" t="inlineStr">
        <is>
          <t>count</t>
        </is>
      </c>
      <c r="C52" s="4" t="inlineStr">
        <is>
          <t>Per event</t>
        </is>
      </c>
      <c r="D52" s="4" t="n">
        <v>2</v>
      </c>
      <c r="E52" s="4" t="inlineStr">
        <is>
          <t>Director</t>
        </is>
      </c>
    </row>
    <row r="53">
      <c r="A53" s="4" t="inlineStr">
        <is>
          <t>Director community presentations</t>
        </is>
      </c>
      <c r="B53" s="4" t="inlineStr">
        <is>
          <t>count</t>
        </is>
      </c>
      <c r="C53" s="4" t="inlineStr">
        <is>
          <t>Per event</t>
        </is>
      </c>
      <c r="D53" s="4" t="n">
        <v>4</v>
      </c>
      <c r="E53" s="4" t="inlineStr">
        <is>
          <t>Director</t>
        </is>
      </c>
    </row>
    <row r="55" ht="28" customHeight="1">
      <c r="A55" s="17" t="inlineStr">
        <is>
          <t>Farmers</t>
        </is>
      </c>
    </row>
    <row r="56">
      <c r="A56" s="18" t="inlineStr">
        <is>
          <t>KPI</t>
        </is>
      </c>
      <c r="B56" s="18" t="inlineStr">
        <is>
          <t>Unit</t>
        </is>
      </c>
      <c r="C56" s="18" t="inlineStr">
        <is>
          <t>Cadence</t>
        </is>
      </c>
      <c r="D56" s="18" t="inlineStr">
        <is>
          <t>2026 Target</t>
        </is>
      </c>
      <c r="E56" s="18" t="inlineStr">
        <is>
          <t>Owner</t>
        </is>
      </c>
    </row>
    <row r="57">
      <c r="A57" s="4" t="inlineStr">
        <is>
          <t>Farms engaged</t>
        </is>
      </c>
      <c r="B57" s="4" t="inlineStr">
        <is>
          <t>count</t>
        </is>
      </c>
      <c r="C57" s="4" t="inlineStr">
        <is>
          <t>Monthly</t>
        </is>
      </c>
      <c r="D57" s="4" t="n">
        <v>4</v>
      </c>
      <c r="E57" s="4" t="inlineStr">
        <is>
          <t>Director</t>
        </is>
      </c>
    </row>
    <row r="58">
      <c r="A58" s="4" t="inlineStr">
        <is>
          <t>$ farmer business via HARVEST</t>
        </is>
      </c>
      <c r="B58" s="4" t="inlineStr">
        <is>
          <t>$</t>
        </is>
      </c>
      <c r="C58" s="4" t="inlineStr">
        <is>
          <t>Monthly</t>
        </is>
      </c>
      <c r="D58" s="4" t="n"/>
      <c r="E58" s="4" t="inlineStr">
        <is>
          <t>Director</t>
        </is>
      </c>
    </row>
    <row r="59">
      <c r="A59" s="4" t="inlineStr">
        <is>
          <t>Types of produce moved</t>
        </is>
      </c>
      <c r="B59" s="4" t="inlineStr">
        <is>
          <t>count</t>
        </is>
      </c>
      <c r="C59" s="4" t="inlineStr">
        <is>
          <t>Monthly</t>
        </is>
      </c>
      <c r="D59" s="4" t="n"/>
      <c r="E59" s="4" t="inlineStr">
        <is>
          <t>Director</t>
        </is>
      </c>
    </row>
    <row r="60">
      <c r="A60" s="4" t="inlineStr">
        <is>
          <t>lbs of produce moved</t>
        </is>
      </c>
      <c r="B60" s="4" t="inlineStr">
        <is>
          <t>lbs</t>
        </is>
      </c>
      <c r="C60" s="4" t="inlineStr">
        <is>
          <t>Monthly</t>
        </is>
      </c>
      <c r="D60" s="4" t="n"/>
      <c r="E60" s="4" t="inlineStr">
        <is>
          <t>Director</t>
        </is>
      </c>
    </row>
    <row r="61">
      <c r="A61" s="4" t="inlineStr">
        <is>
          <t>Farmers making value-added products</t>
        </is>
      </c>
      <c r="B61" s="4" t="inlineStr">
        <is>
          <t>count</t>
        </is>
      </c>
      <c r="C61" s="4" t="inlineStr">
        <is>
          <t>Monthly</t>
        </is>
      </c>
      <c r="D61" s="4" t="n"/>
      <c r="E61" s="4" t="inlineStr">
        <is>
          <t>Director</t>
        </is>
      </c>
    </row>
    <row r="63" ht="28" customHeight="1">
      <c r="A63" s="17" t="inlineStr">
        <is>
          <t>Environmental Sustainability</t>
        </is>
      </c>
    </row>
    <row r="64">
      <c r="A64" s="18" t="inlineStr">
        <is>
          <t>KPI</t>
        </is>
      </c>
      <c r="B64" s="18" t="inlineStr">
        <is>
          <t>Unit</t>
        </is>
      </c>
      <c r="C64" s="18" t="inlineStr">
        <is>
          <t>Cadence</t>
        </is>
      </c>
      <c r="D64" s="18" t="inlineStr">
        <is>
          <t>2026 Target</t>
        </is>
      </c>
      <c r="E64" s="18" t="inlineStr">
        <is>
          <t>Owner</t>
        </is>
      </c>
    </row>
    <row r="65">
      <c r="A65" s="4" t="inlineStr">
        <is>
          <t>Food waste diversion (lbs)</t>
        </is>
      </c>
      <c r="B65" s="4" t="inlineStr">
        <is>
          <t>lbs</t>
        </is>
      </c>
      <c r="C65" s="4" t="inlineStr">
        <is>
          <t>Monthly</t>
        </is>
      </c>
      <c r="D65" s="4" t="n">
        <v>1000</v>
      </c>
      <c r="E65" s="4" t="inlineStr">
        <is>
          <t>Logistics Manager</t>
        </is>
      </c>
    </row>
    <row r="66">
      <c r="A66" s="4" t="inlineStr">
        <is>
          <t>Composted (lbs)</t>
        </is>
      </c>
      <c r="B66" s="4" t="inlineStr">
        <is>
          <t>lbs</t>
        </is>
      </c>
      <c r="C66" s="4" t="inlineStr">
        <is>
          <t>Monthly</t>
        </is>
      </c>
      <c r="D66" s="4" t="n"/>
      <c r="E66" s="4" t="inlineStr">
        <is>
          <t>Logistics Manager</t>
        </is>
      </c>
    </row>
    <row r="67">
      <c r="A67" s="4" t="inlineStr">
        <is>
          <t>Local food miles (avg)</t>
        </is>
      </c>
      <c r="B67" s="4" t="inlineStr">
        <is>
          <t>miles</t>
        </is>
      </c>
      <c r="C67" s="4" t="inlineStr">
        <is>
          <t>Quarterly</t>
        </is>
      </c>
      <c r="D67" s="4" t="n"/>
      <c r="E67" s="4" t="inlineStr">
        <is>
          <t>Director</t>
        </is>
      </c>
    </row>
    <row r="68">
      <c r="A68" s="4" t="inlineStr">
        <is>
          <t>Food captured for demos (lbs)</t>
        </is>
      </c>
      <c r="B68" s="4" t="inlineStr">
        <is>
          <t>lbs</t>
        </is>
      </c>
      <c r="C68" s="4" t="inlineStr">
        <is>
          <t>Per event</t>
        </is>
      </c>
      <c r="D68" s="4" t="n"/>
      <c r="E68" s="4" t="inlineStr">
        <is>
          <t>Culinary Manager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">
    <mergeCell ref="A55:E55"/>
    <mergeCell ref="A4:E4"/>
    <mergeCell ref="A20:E20"/>
    <mergeCell ref="A43:E43"/>
    <mergeCell ref="A2:E2"/>
    <mergeCell ref="A28:E28"/>
    <mergeCell ref="A63:E63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</cols>
  <sheetData>
    <row r="1" ht="36" customHeight="1">
      <c r="A1" s="19" t="inlineStr">
        <is>
          <t>Food Corridor — CSV Import</t>
        </is>
      </c>
    </row>
    <row r="2">
      <c r="A2" s="8" t="inlineStr">
        <is>
          <t>How to refresh kitchen rental data:</t>
        </is>
      </c>
    </row>
    <row r="3">
      <c r="A3" s="8" t="inlineStr">
        <is>
          <t xml:space="preserve">  1. In Food Corridor, go to Reports &gt; Bookings &gt; Export to CSV.</t>
        </is>
      </c>
    </row>
    <row r="4">
      <c r="A4" s="8" t="inlineStr">
        <is>
          <t xml:space="preserve">  2. Save the file as 'food_corridor.csv' to the same folder as this workbook.</t>
        </is>
      </c>
    </row>
    <row r="5">
      <c r="A5" s="8" t="inlineStr">
        <is>
          <t xml:space="preserve">  3. In Excel, click Data &gt; Refresh All.</t>
        </is>
      </c>
    </row>
    <row r="6">
      <c r="A6" s="8" t="inlineStr"/>
    </row>
    <row r="7">
      <c r="A7" s="8" t="inlineStr">
        <is>
          <t>v1 schema: Booking Date, Member Business, Hours only.</t>
        </is>
      </c>
    </row>
    <row r="8">
      <c r="A8" s="8" t="inlineStr">
        <is>
          <t>Expand when Anthony shares a real Food Corridor export.</t>
        </is>
      </c>
    </row>
    <row r="9">
      <c r="A9" s="8" t="inlineStr"/>
    </row>
    <row r="10">
      <c r="A10" s="8" t="inlineStr">
        <is>
          <t>If Power Query is not yet wired up, paste rows directly below the headers.</t>
        </is>
      </c>
    </row>
    <row r="13" ht="32" customHeight="1">
      <c r="A13" s="5" t="inlineStr">
        <is>
          <t>Booking_Date</t>
        </is>
      </c>
      <c r="B13" s="5" t="inlineStr">
        <is>
          <t>Member_Business</t>
        </is>
      </c>
      <c r="C13" s="5" t="inlineStr">
        <is>
          <t>Hours</t>
        </is>
      </c>
    </row>
    <row r="14">
      <c r="A14" s="21" t="n">
        <v>46093</v>
      </c>
      <c r="B14" s="22" t="inlineStr">
        <is>
          <t>Newark Eats LLC</t>
        </is>
      </c>
      <c r="C14" s="22" t="n">
        <v>6</v>
      </c>
    </row>
    <row r="15">
      <c r="A15" s="21" t="n">
        <v>46095</v>
      </c>
      <c r="B15" s="22" t="inlineStr">
        <is>
          <t>Casa Sabor</t>
        </is>
      </c>
      <c r="C15" s="22" t="n">
        <v>4</v>
      </c>
    </row>
    <row r="16">
      <c r="A16" s="21" t="n">
        <v>46100</v>
      </c>
      <c r="B16" s="22" t="inlineStr">
        <is>
          <t>Newark Eats LLC</t>
        </is>
      </c>
      <c r="C16" s="22" t="n">
        <v>8</v>
      </c>
    </row>
    <row r="17">
      <c r="A17" s="21" t="n">
        <v>46107</v>
      </c>
      <c r="B17" s="22" t="inlineStr">
        <is>
          <t>Casa Sabor</t>
        </is>
      </c>
      <c r="C17" s="22" t="n">
        <v>5</v>
      </c>
    </row>
    <row r="18">
      <c r="A18" s="21" t="n">
        <v>46114</v>
      </c>
      <c r="B18" s="22" t="inlineStr">
        <is>
          <t>Newark Eats LLC</t>
        </is>
      </c>
      <c r="C18" s="22" t="n">
        <v>6</v>
      </c>
    </row>
    <row r="19">
      <c r="A19" s="21" t="n">
        <v>46121</v>
      </c>
      <c r="B19" s="22" t="inlineStr">
        <is>
          <t>Casa Sabor</t>
        </is>
      </c>
      <c r="C19" s="22" t="n">
        <v>4</v>
      </c>
    </row>
    <row r="20">
      <c r="A20" s="21" t="n">
        <v>46128</v>
      </c>
      <c r="B20" s="22" t="inlineStr">
        <is>
          <t>Newark Eats LLC</t>
        </is>
      </c>
      <c r="C20" s="22" t="n">
        <v>6</v>
      </c>
    </row>
  </sheetData>
  <mergeCells count="10">
    <mergeCell ref="A2:F2"/>
    <mergeCell ref="A10:F10"/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4" customWidth="1" min="5" max="5"/>
    <col width="12" customWidth="1" min="6" max="6"/>
    <col width="24" customWidth="1" min="7" max="7"/>
    <col width="26" customWidth="1" min="8" max="8"/>
    <col width="18" customWidth="1" min="9" max="9"/>
    <col width="30" customWidth="1" min="10" max="10"/>
    <col width="16" customWidth="1" min="11" max="11"/>
    <col width="30" customWidth="1" min="12" max="12"/>
    <col width="18" customWidth="1" min="13" max="13"/>
    <col width="14" customWidth="1" min="14" max="14"/>
    <col width="36" customWidth="1" min="15" max="15"/>
  </cols>
  <sheetData>
    <row r="1">
      <c r="A1" s="23" t="inlineStr">
        <is>
          <t>Back-end data tab. Populated by Power Query from the corresponding log workbook. Sample rows seeded so dashboards render. Replace via Data &gt; Get Data &gt; From Workbook — M code in docs/data_dictionary.md.</t>
        </is>
      </c>
    </row>
    <row r="3" ht="32" customHeight="1">
      <c r="A3" s="5" t="inlineStr">
        <is>
          <t>Date</t>
        </is>
      </c>
      <c r="B3" s="5" t="inlineStr">
        <is>
          <t>Reporting_Week_Start</t>
        </is>
      </c>
      <c r="C3" s="5" t="inlineStr">
        <is>
          <t>Reporting_Week_End</t>
        </is>
      </c>
      <c r="D3" s="5" t="inlineStr">
        <is>
          <t>Entry_Type</t>
        </is>
      </c>
      <c r="E3" s="5" t="inlineStr">
        <is>
          <t>Active_Members</t>
        </is>
      </c>
      <c r="F3" s="5" t="inlineStr">
        <is>
          <t>New_Members</t>
        </is>
      </c>
      <c r="G3" s="5" t="inlineStr">
        <is>
          <t>New_Member_Business</t>
        </is>
      </c>
      <c r="H3" s="5" t="inlineStr">
        <is>
          <t>New_Member_Demographics</t>
        </is>
      </c>
      <c r="I3" s="5" t="inlineStr">
        <is>
          <t>Equipment_Status</t>
        </is>
      </c>
      <c r="J3" s="5" t="inlineStr">
        <is>
          <t>Equipment_Notes</t>
        </is>
      </c>
      <c r="K3" s="5" t="inlineStr">
        <is>
          <t>Incident_Type</t>
        </is>
      </c>
      <c r="L3" s="5" t="inlineStr">
        <is>
          <t>Incident_Description</t>
        </is>
      </c>
      <c r="M3" s="5" t="inlineStr">
        <is>
          <t>Food_Waste_Diverted_lbs</t>
        </is>
      </c>
      <c r="N3" s="5" t="inlineStr">
        <is>
          <t>Composted_lbs</t>
        </is>
      </c>
      <c r="O3" s="5" t="inlineStr">
        <is>
          <t>Notes</t>
        </is>
      </c>
    </row>
    <row r="4">
      <c r="A4" s="24" t="n">
        <v>46102</v>
      </c>
      <c r="B4" s="24" t="n">
        <v>46096</v>
      </c>
      <c r="C4" s="24" t="n">
        <v>46102</v>
      </c>
      <c r="D4" s="4" t="inlineStr">
        <is>
          <t>Weekly Log</t>
        </is>
      </c>
      <c r="E4" s="4" t="n">
        <v>2</v>
      </c>
      <c r="F4" s="4" t="n">
        <v>1</v>
      </c>
      <c r="G4" s="4" t="inlineStr">
        <is>
          <t>Newark Eats LLC</t>
        </is>
      </c>
      <c r="H4" s="4" t="inlineStr">
        <is>
          <t>Woman-owned; BIPOC-owned</t>
        </is>
      </c>
      <c r="I4" s="4" t="inlineStr">
        <is>
          <t>All operational</t>
        </is>
      </c>
      <c r="J4" s="4" t="n"/>
      <c r="K4" s="4" t="n"/>
      <c r="L4" s="4" t="n"/>
      <c r="M4" s="4" t="n">
        <v>85</v>
      </c>
      <c r="N4" s="4" t="n">
        <v>60</v>
      </c>
      <c r="O4" s="4" t="inlineStr">
        <is>
          <t>First full week with founding cohort.</t>
        </is>
      </c>
    </row>
    <row r="5">
      <c r="A5" s="24" t="n">
        <v>46109</v>
      </c>
      <c r="B5" s="24" t="n">
        <v>46103</v>
      </c>
      <c r="C5" s="24" t="n">
        <v>46109</v>
      </c>
      <c r="D5" s="4" t="inlineStr">
        <is>
          <t>Weekly Log</t>
        </is>
      </c>
      <c r="E5" s="4" t="n">
        <v>2</v>
      </c>
      <c r="F5" s="4" t="n">
        <v>1</v>
      </c>
      <c r="G5" s="4" t="inlineStr">
        <is>
          <t>Casa Sabor</t>
        </is>
      </c>
      <c r="H5" s="4" t="inlineStr">
        <is>
          <t>Immigrant-owned; First-time entrepreneur</t>
        </is>
      </c>
      <c r="I5" s="4" t="inlineStr">
        <is>
          <t>All operational</t>
        </is>
      </c>
      <c r="J5" s="4" t="n"/>
      <c r="K5" s="4" t="n"/>
      <c r="L5" s="4" t="n"/>
      <c r="M5" s="4" t="n">
        <v>72</v>
      </c>
      <c r="N5" s="4" t="n">
        <v>50</v>
      </c>
      <c r="O5" s="4" t="inlineStr">
        <is>
          <t>Second member onboarded.</t>
        </is>
      </c>
    </row>
    <row r="6">
      <c r="A6" s="24" t="n">
        <v>46116</v>
      </c>
      <c r="B6" s="24" t="n">
        <v>46110</v>
      </c>
      <c r="C6" s="24" t="n">
        <v>46116</v>
      </c>
      <c r="D6" s="4" t="inlineStr">
        <is>
          <t>Weekly Log</t>
        </is>
      </c>
      <c r="E6" s="4" t="n">
        <v>2</v>
      </c>
      <c r="F6" s="4" t="n">
        <v>0</v>
      </c>
      <c r="G6" s="4" t="n"/>
      <c r="H6" s="4" t="n"/>
      <c r="I6" s="4" t="inlineStr">
        <is>
          <t>Minor issue (logged)</t>
        </is>
      </c>
      <c r="J6" s="4" t="inlineStr">
        <is>
          <t>Walk-in cooler thermostat replaced</t>
        </is>
      </c>
      <c r="K6" s="4" t="n"/>
      <c r="L6" s="4" t="n"/>
      <c r="M6" s="4" t="n">
        <v>90</v>
      </c>
      <c r="N6" s="4" t="n">
        <v>65</v>
      </c>
      <c r="O6" s="4" t="n"/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8" customWidth="1" min="4" max="4"/>
    <col width="14" customWidth="1" min="5" max="5"/>
    <col width="14" customWidth="1" min="6" max="6"/>
    <col width="28" customWidth="1" min="7" max="7"/>
    <col width="14" customWidth="1" min="8" max="8"/>
    <col width="14" customWidth="1" min="9" max="9"/>
    <col width="22" customWidth="1" min="10" max="10"/>
    <col width="24" customWidth="1" min="11" max="11"/>
    <col width="24" customWidth="1" min="12" max="12"/>
    <col width="14" customWidth="1" min="13" max="13"/>
    <col width="18" customWidth="1" min="14" max="14"/>
    <col width="18" customWidth="1" min="15" max="15"/>
    <col width="36" customWidth="1" min="16" max="16"/>
  </cols>
  <sheetData>
    <row r="1">
      <c r="A1" s="23" t="inlineStr">
        <is>
          <t>Back-end data tab. Populated by Power Query from the corresponding log workbook. Sample rows seeded so dashboards render. Replace via Data &gt; Get Data &gt; From Workbook — M code in docs/data_dictionary.md.</t>
        </is>
      </c>
    </row>
    <row r="3" ht="32" customHeight="1">
      <c r="A3" s="5" t="inlineStr">
        <is>
          <t>Date</t>
        </is>
      </c>
      <c r="B3" s="5" t="inlineStr">
        <is>
          <t>Event_Type</t>
        </is>
      </c>
      <c r="C3" s="5" t="inlineStr">
        <is>
          <t>Event_Title</t>
        </is>
      </c>
      <c r="D3" s="5" t="inlineStr">
        <is>
          <t>Curriculum</t>
        </is>
      </c>
      <c r="E3" s="5" t="inlineStr">
        <is>
          <t>Duration_Hours</t>
        </is>
      </c>
      <c r="F3" s="5" t="inlineStr">
        <is>
          <t>Attendance_Count</t>
        </is>
      </c>
      <c r="G3" s="5" t="inlineStr">
        <is>
          <t>Businesses_Present</t>
        </is>
      </c>
      <c r="H3" s="5" t="inlineStr">
        <is>
          <t>ServSafe_Passed</t>
        </is>
      </c>
      <c r="I3" s="5" t="inlineStr">
        <is>
          <t>ServSafe_Attempted</t>
        </is>
      </c>
      <c r="J3" s="5" t="inlineStr">
        <is>
          <t>TA_Topic</t>
        </is>
      </c>
      <c r="K3" s="5" t="inlineStr">
        <is>
          <t>TA_Recipient_Business</t>
        </is>
      </c>
      <c r="L3" s="5" t="inlineStr">
        <is>
          <t>Wellness_Coaching_Recipient</t>
        </is>
      </c>
      <c r="M3" s="5" t="inlineStr">
        <is>
          <t>RD_InKind_Hours</t>
        </is>
      </c>
      <c r="N3" s="5" t="inlineStr">
        <is>
          <t>Food_Captured_Demo_lbs</t>
        </is>
      </c>
      <c r="O3" s="5" t="inlineStr">
        <is>
          <t>Food_Captured_Demo_$</t>
        </is>
      </c>
      <c r="P3" s="5" t="inlineStr">
        <is>
          <t>Notes</t>
        </is>
      </c>
    </row>
    <row r="4">
      <c r="A4" s="24" t="n">
        <v>46099</v>
      </c>
      <c r="B4" s="4" t="inlineStr">
        <is>
          <t>ServSafe Training</t>
        </is>
      </c>
      <c r="C4" s="4" t="inlineStr">
        <is>
          <t>ServSafe Food Handler — Cohort 1</t>
        </is>
      </c>
      <c r="D4" s="4" t="n"/>
      <c r="E4" s="4" t="n">
        <v>4</v>
      </c>
      <c r="F4" s="4" t="n">
        <v>2</v>
      </c>
      <c r="G4" s="4" t="inlineStr">
        <is>
          <t>Newark Eats LLC; Casa Sabor</t>
        </is>
      </c>
      <c r="H4" s="4" t="n">
        <v>2</v>
      </c>
      <c r="I4" s="4" t="n">
        <v>2</v>
      </c>
      <c r="J4" s="4" t="n"/>
      <c r="K4" s="4" t="n"/>
      <c r="L4" s="4" t="n"/>
      <c r="M4" s="4" t="n">
        <v>0</v>
      </c>
      <c r="N4" s="4" t="n">
        <v>0</v>
      </c>
      <c r="O4" s="4" t="n">
        <v>0</v>
      </c>
      <c r="P4" s="4" t="inlineStr">
        <is>
          <t>Both founding members passed.</t>
        </is>
      </c>
    </row>
    <row r="5">
      <c r="A5" s="24" t="n">
        <v>46117</v>
      </c>
      <c r="B5" s="4" t="inlineStr">
        <is>
          <t>Health/Nutrition Demo</t>
        </is>
      </c>
      <c r="C5" s="4" t="inlineStr">
        <is>
          <t>Teaching Kitchen — Diabetes Friendly</t>
        </is>
      </c>
      <c r="D5" s="4" t="inlineStr">
        <is>
          <t>Diabetes-Friendly Cooking</t>
        </is>
      </c>
      <c r="E5" s="4" t="n">
        <v>2.5</v>
      </c>
      <c r="F5" s="4" t="n">
        <v>18</v>
      </c>
      <c r="G5" s="4" t="n"/>
      <c r="H5" s="4" t="n">
        <v>0</v>
      </c>
      <c r="I5" s="4" t="n">
        <v>0</v>
      </c>
      <c r="J5" s="4" t="n"/>
      <c r="K5" s="4" t="n"/>
      <c r="L5" s="4" t="n"/>
      <c r="M5" s="4" t="n">
        <v>2.5</v>
      </c>
      <c r="N5" s="4" t="n">
        <v>12</v>
      </c>
      <c r="O5" s="25" t="n">
        <v>45</v>
      </c>
      <c r="P5" s="4" t="inlineStr">
        <is>
          <t>RD-led; surplus produce from UAC. 12-week series start.</t>
        </is>
      </c>
    </row>
    <row r="6">
      <c r="A6" s="24" t="n">
        <v>46122</v>
      </c>
      <c r="B6" s="4" t="inlineStr">
        <is>
          <t>1:1 Technical Assistance</t>
        </is>
      </c>
      <c r="C6" s="4" t="inlineStr">
        <is>
          <t>Marketing TA — Newark Eats</t>
        </is>
      </c>
      <c r="D6" s="4" t="n"/>
      <c r="E6" s="4" t="n">
        <v>1</v>
      </c>
      <c r="F6" s="4" t="n">
        <v>1</v>
      </c>
      <c r="G6" s="4" t="inlineStr">
        <is>
          <t>Newark Eats LLC</t>
        </is>
      </c>
      <c r="H6" s="4" t="n">
        <v>0</v>
      </c>
      <c r="I6" s="4" t="n">
        <v>0</v>
      </c>
      <c r="J6" s="4" t="inlineStr">
        <is>
          <t>Marketing</t>
        </is>
      </c>
      <c r="K6" s="4" t="inlineStr">
        <is>
          <t>Newark Eats LLC</t>
        </is>
      </c>
      <c r="L6" s="4" t="n"/>
      <c r="M6" s="4" t="n">
        <v>0</v>
      </c>
      <c r="N6" s="4" t="n">
        <v>0</v>
      </c>
      <c r="O6" s="4" t="n">
        <v>0</v>
      </c>
      <c r="P6" s="4" t="inlineStr">
        <is>
          <t>Social media strategy session.</t>
        </is>
      </c>
    </row>
    <row r="7">
      <c r="A7" s="24" t="n">
        <v>46126</v>
      </c>
      <c r="B7" s="4" t="inlineStr">
        <is>
          <t>Health/Nutrition Demo</t>
        </is>
      </c>
      <c r="C7" s="4" t="inlineStr">
        <is>
          <t>Heart Health Cooking Class</t>
        </is>
      </c>
      <c r="D7" s="4" t="inlineStr">
        <is>
          <t>Heart Health Meals</t>
        </is>
      </c>
      <c r="E7" s="4" t="n">
        <v>2</v>
      </c>
      <c r="F7" s="4" t="n">
        <v>22</v>
      </c>
      <c r="G7" s="4" t="n"/>
      <c r="H7" s="4" t="n">
        <v>0</v>
      </c>
      <c r="I7" s="4" t="n">
        <v>0</v>
      </c>
      <c r="J7" s="4" t="n"/>
      <c r="K7" s="4" t="n"/>
      <c r="L7" s="4" t="n"/>
      <c r="M7" s="4" t="n">
        <v>3</v>
      </c>
      <c r="N7" s="4" t="n">
        <v>8</v>
      </c>
      <c r="O7" s="25" t="n">
        <v>30</v>
      </c>
      <c r="P7" s="4" t="inlineStr">
        <is>
          <t>Partnership with RWJBH cardiology outreach.</t>
        </is>
      </c>
    </row>
  </sheetData>
  <mergeCells count="1">
    <mergeCell ref="A1:P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4" customWidth="1" min="4" max="4"/>
    <col width="14" customWidth="1" min="5" max="5"/>
    <col width="36" customWidth="1" min="6" max="6"/>
    <col width="10" customWidth="1" min="7" max="7"/>
    <col width="18" customWidth="1" min="8" max="8"/>
    <col width="22" customWidth="1" min="9" max="9"/>
    <col width="14" customWidth="1" min="10" max="10"/>
    <col width="22" customWidth="1" min="11" max="11"/>
    <col width="12" customWidth="1" min="12" max="12"/>
    <col width="36" customWidth="1" min="13" max="13"/>
  </cols>
  <sheetData>
    <row r="1">
      <c r="A1" s="23" t="inlineStr">
        <is>
          <t>Back-end data tab. Populated by Power Query from the corresponding log workbook. Sample rows seeded so dashboards render. Replace via Data &gt; Get Data &gt; From Workbook — M code in docs/data_dictionary.md.</t>
        </is>
      </c>
    </row>
    <row r="3" ht="32" customHeight="1">
      <c r="A3" s="5" t="inlineStr">
        <is>
          <t>Date</t>
        </is>
      </c>
      <c r="B3" s="5" t="inlineStr">
        <is>
          <t>Event_Name</t>
        </is>
      </c>
      <c r="C3" s="5" t="inlineStr">
        <is>
          <t>Event_Type</t>
        </is>
      </c>
      <c r="D3" s="5" t="inlineStr">
        <is>
          <t>Attendance_Count</t>
        </is>
      </c>
      <c r="E3" s="5" t="inlineStr">
        <is>
          <t>Volunteer_Hours</t>
        </is>
      </c>
      <c r="F3" s="5" t="inlineStr">
        <is>
          <t>Orgs_Engaged</t>
        </is>
      </c>
      <c r="G3" s="5" t="inlineStr">
        <is>
          <t>Sector_Count</t>
        </is>
      </c>
      <c r="H3" s="5" t="inlineStr">
        <is>
          <t>Multilingual_Cultural</t>
        </is>
      </c>
      <c r="I3" s="5" t="inlineStr">
        <is>
          <t>Language_Tradition</t>
        </is>
      </c>
      <c r="J3" s="5" t="inlineStr">
        <is>
          <t>Food_Recovery_lbs</t>
        </is>
      </c>
      <c r="K3" s="5" t="inlineStr">
        <is>
          <t>Food_Recovery_Recipient</t>
        </is>
      </c>
      <c r="L3" s="5" t="inlineStr">
        <is>
          <t>DSP_Onsite</t>
        </is>
      </c>
      <c r="M3" s="5" t="inlineStr">
        <is>
          <t>Notes</t>
        </is>
      </c>
    </row>
    <row r="4">
      <c r="A4" s="24" t="n">
        <v>46103</v>
      </c>
      <c r="B4" s="4" t="inlineStr">
        <is>
          <t>Open House — March</t>
        </is>
      </c>
      <c r="C4" s="4" t="inlineStr">
        <is>
          <t>HARVEST-Hosted Event</t>
        </is>
      </c>
      <c r="D4" s="4" t="n">
        <v>62</v>
      </c>
      <c r="E4" s="4" t="n">
        <v>8.5</v>
      </c>
      <c r="F4" s="4" t="inlineStr">
        <is>
          <t>Bridges; Newark Public Library; La Casa</t>
        </is>
      </c>
      <c r="G4" s="4" t="n">
        <v>3</v>
      </c>
      <c r="H4" s="4" t="inlineStr">
        <is>
          <t>No</t>
        </is>
      </c>
      <c r="I4" s="4" t="n"/>
      <c r="J4" s="4" t="n">
        <v>24</v>
      </c>
      <c r="K4" s="4" t="inlineStr">
        <is>
          <t>Bridges</t>
        </is>
      </c>
      <c r="L4" s="4" t="inlineStr">
        <is>
          <t>Yes</t>
        </is>
      </c>
      <c r="M4" s="4" t="inlineStr">
        <is>
          <t>First public open house.</t>
        </is>
      </c>
    </row>
    <row r="5">
      <c r="A5" s="24" t="n">
        <v>46117</v>
      </c>
      <c r="B5" s="4" t="inlineStr">
        <is>
          <t>Teaching Kitchen — Diabetes Friendly</t>
        </is>
      </c>
      <c r="C5" s="4" t="inlineStr">
        <is>
          <t>Teaching Kitchen</t>
        </is>
      </c>
      <c r="D5" s="4" t="n">
        <v>18</v>
      </c>
      <c r="E5" s="4" t="n">
        <v>4</v>
      </c>
      <c r="F5" s="4" t="inlineStr">
        <is>
          <t>RWJBH Community Health</t>
        </is>
      </c>
      <c r="G5" s="4" t="n">
        <v>1</v>
      </c>
      <c r="H5" s="4" t="inlineStr">
        <is>
          <t>No</t>
        </is>
      </c>
      <c r="I5" s="4" t="n"/>
      <c r="J5" s="4" t="n">
        <v>0</v>
      </c>
      <c r="K5" s="4" t="n"/>
      <c r="L5" s="4" t="inlineStr">
        <is>
          <t>No</t>
        </is>
      </c>
      <c r="M5" s="4" t="inlineStr">
        <is>
          <t>RD-led; 12-week series start.</t>
        </is>
      </c>
    </row>
    <row r="6">
      <c r="A6" s="24" t="n">
        <v>46131</v>
      </c>
      <c r="B6" s="4" t="inlineStr">
        <is>
          <t>Latine Food Heritage Night</t>
        </is>
      </c>
      <c r="C6" s="4" t="inlineStr">
        <is>
          <t>Pop-Up</t>
        </is>
      </c>
      <c r="D6" s="4" t="n">
        <v>95</v>
      </c>
      <c r="E6" s="4" t="n">
        <v>12</v>
      </c>
      <c r="F6" s="4" t="inlineStr">
        <is>
          <t>La Casa; Lincoln Park Coast Cultural District</t>
        </is>
      </c>
      <c r="G6" s="4" t="n">
        <v>2</v>
      </c>
      <c r="H6" s="4" t="inlineStr">
        <is>
          <t>Yes</t>
        </is>
      </c>
      <c r="I6" s="4" t="inlineStr">
        <is>
          <t>Spanish</t>
        </is>
      </c>
      <c r="J6" s="4" t="n">
        <v>35</v>
      </c>
      <c r="K6" s="4" t="inlineStr">
        <is>
          <t>Bridges</t>
        </is>
      </c>
      <c r="L6" s="4" t="inlineStr">
        <is>
          <t>No</t>
        </is>
      </c>
      <c r="M6" s="4" t="inlineStr">
        <is>
          <t>Member businesses showcased.</t>
        </is>
      </c>
    </row>
  </sheetData>
  <mergeCells count="1"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40" customWidth="1" min="4" max="4"/>
    <col width="40" customWidth="1" min="5" max="5"/>
    <col width="12" customWidth="1" min="6" max="6"/>
    <col width="28" customWidth="1" min="7" max="7"/>
  </cols>
  <sheetData>
    <row r="1">
      <c r="A1" s="23" t="inlineStr">
        <is>
          <t>Back-end data tab. Populated by Power Query from the corresponding log workbook. Sample rows seeded so dashboards render. Replace via Data &gt; Get Data &gt; From Workbook — M code in docs/data_dictionary.md.</t>
        </is>
      </c>
    </row>
    <row r="3" ht="32" customHeight="1">
      <c r="A3" s="5" t="inlineStr">
        <is>
          <t>Date</t>
        </is>
      </c>
      <c r="B3" s="5" t="inlineStr">
        <is>
          <t>Event_Name</t>
        </is>
      </c>
      <c r="C3" s="5" t="inlineStr">
        <is>
          <t>Survey_Instrument</t>
        </is>
      </c>
      <c r="D3" s="5" t="inlineStr">
        <is>
          <t>Question_Text</t>
        </is>
      </c>
      <c r="E3" s="5" t="inlineStr">
        <is>
          <t>Response_Text</t>
        </is>
      </c>
      <c r="F3" s="5" t="inlineStr">
        <is>
          <t>Numeric_Score</t>
        </is>
      </c>
      <c r="G3" s="5" t="inlineStr">
        <is>
          <t>Notes</t>
        </is>
      </c>
    </row>
    <row r="4">
      <c r="A4" s="24" t="n">
        <v>46103</v>
      </c>
      <c r="B4" s="4" t="inlineStr">
        <is>
          <t>Open House — March</t>
        </is>
      </c>
      <c r="C4" s="4" t="inlineStr">
        <is>
          <t>Post-Event v1</t>
        </is>
      </c>
      <c r="D4" s="4" t="inlineStr">
        <is>
          <t>Overall satisfaction (1-5)</t>
        </is>
      </c>
      <c r="E4" s="4" t="n"/>
      <c r="F4" s="4" t="n">
        <v>4.5</v>
      </c>
      <c r="G4" s="4" t="n"/>
    </row>
    <row r="5">
      <c r="A5" s="24" t="n">
        <v>46103</v>
      </c>
      <c r="B5" s="4" t="inlineStr">
        <is>
          <t>Open House — March</t>
        </is>
      </c>
      <c r="C5" s="4" t="inlineStr">
        <is>
          <t>Post-Event v1</t>
        </is>
      </c>
      <c r="D5" s="4" t="inlineStr">
        <is>
          <t>I learned something new today (1-5)</t>
        </is>
      </c>
      <c r="E5" s="4" t="n"/>
      <c r="F5" s="4" t="n">
        <v>4.3</v>
      </c>
      <c r="G5" s="4" t="n"/>
    </row>
    <row r="6">
      <c r="A6" s="24" t="n">
        <v>46103</v>
      </c>
      <c r="B6" s="4" t="inlineStr">
        <is>
          <t>Open House — March</t>
        </is>
      </c>
      <c r="C6" s="4" t="inlineStr">
        <is>
          <t>Post-Event v1</t>
        </is>
      </c>
      <c r="D6" s="4" t="inlineStr">
        <is>
          <t>What did you enjoy most?</t>
        </is>
      </c>
      <c r="E6" s="4" t="inlineStr">
        <is>
          <t>The cooking demo and trying the food</t>
        </is>
      </c>
      <c r="F6" s="4" t="n"/>
      <c r="G6" s="4" t="n"/>
    </row>
    <row r="7">
      <c r="A7" s="24" t="n">
        <v>46117</v>
      </c>
      <c r="B7" s="4" t="inlineStr">
        <is>
          <t>Teaching Kitchen — Diabetes Friendly</t>
        </is>
      </c>
      <c r="C7" s="4" t="inlineStr">
        <is>
          <t>Teaching Kitchen Series v1</t>
        </is>
      </c>
      <c r="D7" s="4" t="inlineStr">
        <is>
          <t>Overall satisfaction (1-5)</t>
        </is>
      </c>
      <c r="E7" s="4" t="n"/>
      <c r="F7" s="4" t="n">
        <v>4.7</v>
      </c>
      <c r="G7" s="4" t="n"/>
    </row>
    <row r="8">
      <c r="A8" s="24" t="n">
        <v>46117</v>
      </c>
      <c r="B8" s="4" t="inlineStr">
        <is>
          <t>Teaching Kitchen — Diabetes Friendly</t>
        </is>
      </c>
      <c r="C8" s="4" t="inlineStr">
        <is>
          <t>Teaching Kitchen Series v1</t>
        </is>
      </c>
      <c r="D8" s="4" t="inlineStr">
        <is>
          <t>I feel confident I can make this recipe at home (1-5)</t>
        </is>
      </c>
      <c r="E8" s="4" t="n"/>
      <c r="F8" s="4" t="n">
        <v>4.6</v>
      </c>
      <c r="G8" s="4" t="n"/>
    </row>
    <row r="9">
      <c r="A9" s="24" t="n">
        <v>46117</v>
      </c>
      <c r="B9" s="4" t="inlineStr">
        <is>
          <t>Teaching Kitchen — Diabetes Friendly</t>
        </is>
      </c>
      <c r="C9" s="4" t="inlineStr">
        <is>
          <t>Teaching Kitchen Series v1</t>
        </is>
      </c>
      <c r="D9" s="4" t="inlineStr">
        <is>
          <t>What would you like to learn next?</t>
        </is>
      </c>
      <c r="E9" s="4" t="inlineStr">
        <is>
          <t>More low-sugar desserts</t>
        </is>
      </c>
      <c r="F9" s="4" t="n"/>
      <c r="G9" s="4" t="n"/>
    </row>
    <row r="10">
      <c r="A10" s="24" t="n">
        <v>46131</v>
      </c>
      <c r="B10" s="4" t="inlineStr">
        <is>
          <t>Latine Food Heritage Night</t>
        </is>
      </c>
      <c r="C10" s="4" t="inlineStr">
        <is>
          <t>Post-Event v1</t>
        </is>
      </c>
      <c r="D10" s="4" t="inlineStr">
        <is>
          <t>Overall satisfaction (1-5)</t>
        </is>
      </c>
      <c r="E10" s="4" t="n"/>
      <c r="F10" s="4" t="n">
        <v>4.8</v>
      </c>
      <c r="G10" s="4" t="n"/>
    </row>
    <row r="11">
      <c r="A11" s="24" t="n">
        <v>46131</v>
      </c>
      <c r="B11" s="4" t="inlineStr">
        <is>
          <t>Latine Food Heritage Night</t>
        </is>
      </c>
      <c r="C11" s="4" t="inlineStr">
        <is>
          <t>Post-Event v1</t>
        </is>
      </c>
      <c r="D11" s="4" t="inlineStr">
        <is>
          <t>I learned something new today (1-5)</t>
        </is>
      </c>
      <c r="E11" s="4" t="n"/>
      <c r="F11" s="4" t="n">
        <v>4.5</v>
      </c>
      <c r="G11" s="4" t="n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4" customWidth="1" min="4" max="4"/>
    <col width="12" customWidth="1" min="5" max="5"/>
    <col width="12" customWidth="1" min="6" max="6"/>
    <col width="18" customWidth="1" min="7" max="7"/>
    <col width="14" customWidth="1" min="8" max="8"/>
    <col width="22" customWidth="1" min="9" max="9"/>
    <col width="22" customWidth="1" min="10" max="10"/>
    <col width="28" customWidth="1" min="11" max="11"/>
    <col width="14" customWidth="1" min="12" max="12"/>
    <col width="14" customWidth="1" min="13" max="13"/>
    <col width="12" customWidth="1" min="14" max="14"/>
    <col width="36" customWidth="1" min="15" max="15"/>
  </cols>
  <sheetData>
    <row r="1">
      <c r="A1" s="23" t="inlineStr">
        <is>
          <t>Back-end data tab. Populated by Power Query from the corresponding log workbook. Sample rows seeded so dashboards render. Replace via Data &gt; Get Data &gt; From Workbook — M code in docs/data_dictionary.md.</t>
        </is>
      </c>
    </row>
    <row r="3" ht="32" customHeight="1">
      <c r="A3" s="5" t="inlineStr">
        <is>
          <t>Date</t>
        </is>
      </c>
      <c r="B3" s="5" t="inlineStr">
        <is>
          <t>Entry_Type</t>
        </is>
      </c>
      <c r="C3" s="5" t="inlineStr">
        <is>
          <t>Name</t>
        </is>
      </c>
      <c r="D3" s="5" t="inlineStr">
        <is>
          <t>Amount_$</t>
        </is>
      </c>
      <c r="E3" s="5" t="inlineStr">
        <is>
          <t>Period_Start</t>
        </is>
      </c>
      <c r="F3" s="5" t="inlineStr">
        <is>
          <t>Period_End</t>
        </is>
      </c>
      <c r="G3" s="5" t="inlineStr">
        <is>
          <t>Institution_Type</t>
        </is>
      </c>
      <c r="H3" s="5" t="inlineStr">
        <is>
          <t>Items_On_Menu</t>
        </is>
      </c>
      <c r="I3" s="5" t="inlineStr">
        <is>
          <t>CAB_Member_Name</t>
        </is>
      </c>
      <c r="J3" s="5" t="inlineStr">
        <is>
          <t>CAB_Member_Sector</t>
        </is>
      </c>
      <c r="K3" s="5" t="inlineStr">
        <is>
          <t>PD_Activity</t>
        </is>
      </c>
      <c r="L3" s="5" t="inlineStr">
        <is>
          <t>Earned_Revenue_%</t>
        </is>
      </c>
      <c r="M3" s="5" t="inlineStr">
        <is>
          <t>Avg_Sales_Increase_%</t>
        </is>
      </c>
      <c r="N3" s="5" t="inlineStr">
        <is>
          <t>Status</t>
        </is>
      </c>
      <c r="O3" s="5" t="inlineStr">
        <is>
          <t>Notes</t>
        </is>
      </c>
    </row>
    <row r="4">
      <c r="A4" s="24" t="n">
        <v>46065</v>
      </c>
      <c r="B4" s="4" t="inlineStr">
        <is>
          <t>Grant</t>
        </is>
      </c>
      <c r="C4" s="4" t="inlineStr">
        <is>
          <t>Whole Cities Foundation — 2026</t>
        </is>
      </c>
      <c r="D4" s="25" t="n">
        <v>75000</v>
      </c>
      <c r="E4" s="24" t="n">
        <v>46054</v>
      </c>
      <c r="F4" s="24" t="n">
        <v>46387</v>
      </c>
      <c r="G4" s="4" t="n"/>
      <c r="H4" s="4" t="n"/>
      <c r="I4" s="4" t="n"/>
      <c r="J4" s="4" t="n"/>
      <c r="K4" s="4" t="n"/>
      <c r="L4" s="4" t="n"/>
      <c r="M4" s="4" t="n"/>
      <c r="N4" s="4" t="inlineStr">
        <is>
          <t>Active</t>
        </is>
      </c>
      <c r="O4" s="4" t="inlineStr">
        <is>
          <t>Anchor 2026 grant.</t>
        </is>
      </c>
    </row>
    <row r="5">
      <c r="A5" s="24" t="n">
        <v>46040</v>
      </c>
      <c r="B5" s="4" t="inlineStr">
        <is>
          <t>JSC Meeting</t>
        </is>
      </c>
      <c r="C5" s="4" t="inlineStr">
        <is>
          <t>JSC — January 2026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inlineStr">
        <is>
          <t>Closed</t>
        </is>
      </c>
      <c r="O5" s="4" t="inlineStr">
        <is>
          <t>Reviewed Q4 2025 ops; approved 2026 KPI framework.</t>
        </is>
      </c>
    </row>
    <row r="6">
      <c r="A6" s="24" t="n">
        <v>46095</v>
      </c>
      <c r="B6" s="4" t="inlineStr">
        <is>
          <t>JSC Meeting</t>
        </is>
      </c>
      <c r="C6" s="4" t="inlineStr">
        <is>
          <t>JSC — March 2026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inlineStr">
        <is>
          <t>Closed</t>
        </is>
      </c>
      <c r="O6" s="4" t="inlineStr">
        <is>
          <t>Founding cohort selection.</t>
        </is>
      </c>
    </row>
    <row r="7">
      <c r="A7" s="24" t="n">
        <v>46109</v>
      </c>
      <c r="B7" s="4" t="inlineStr">
        <is>
          <t>CAB Member Added</t>
        </is>
      </c>
      <c r="C7" s="4" t="inlineStr">
        <is>
          <t>D. Okafor</t>
        </is>
      </c>
      <c r="D7" s="4" t="n"/>
      <c r="E7" s="4" t="n"/>
      <c r="F7" s="4" t="n"/>
      <c r="G7" s="4" t="n"/>
      <c r="H7" s="4" t="n"/>
      <c r="I7" s="4" t="inlineStr">
        <is>
          <t>D. Okafor</t>
        </is>
      </c>
      <c r="J7" s="4" t="inlineStr">
        <is>
          <t>Healthcare</t>
        </is>
      </c>
      <c r="K7" s="4" t="n"/>
      <c r="L7" s="4" t="n"/>
      <c r="M7" s="4" t="n"/>
      <c r="N7" s="4" t="inlineStr">
        <is>
          <t>Active</t>
        </is>
      </c>
      <c r="O7" s="4" t="inlineStr">
        <is>
          <t>Healthcare sector.</t>
        </is>
      </c>
    </row>
    <row r="8">
      <c r="A8" s="24" t="n">
        <v>46116</v>
      </c>
      <c r="B8" s="4" t="inlineStr">
        <is>
          <t>CAB Member Added</t>
        </is>
      </c>
      <c r="C8" s="4" t="inlineStr">
        <is>
          <t>M. Vega</t>
        </is>
      </c>
      <c r="D8" s="4" t="n"/>
      <c r="E8" s="4" t="n"/>
      <c r="F8" s="4" t="n"/>
      <c r="G8" s="4" t="n"/>
      <c r="H8" s="4" t="n"/>
      <c r="I8" s="4" t="inlineStr">
        <is>
          <t>M. Vega</t>
        </is>
      </c>
      <c r="J8" s="4" t="inlineStr">
        <is>
          <t>Food Enterprise</t>
        </is>
      </c>
      <c r="K8" s="4" t="n"/>
      <c r="L8" s="4" t="n"/>
      <c r="M8" s="4" t="n"/>
      <c r="N8" s="4" t="inlineStr">
        <is>
          <t>Active</t>
        </is>
      </c>
      <c r="O8" s="4" t="inlineStr">
        <is>
          <t>Food Enterprise sector.</t>
        </is>
      </c>
    </row>
    <row r="9">
      <c r="A9" s="24" t="n">
        <v>46112</v>
      </c>
      <c r="B9" s="4" t="inlineStr">
        <is>
          <t>Earned Revenue Snapshot</t>
        </is>
      </c>
      <c r="C9" s="4" t="inlineStr">
        <is>
          <t>Q1 2026</t>
        </is>
      </c>
      <c r="D9" s="4" t="n"/>
      <c r="E9" s="24" t="n">
        <v>46023</v>
      </c>
      <c r="F9" s="24" t="n">
        <v>46112</v>
      </c>
      <c r="G9" s="4" t="n"/>
      <c r="H9" s="4" t="n"/>
      <c r="I9" s="4" t="n"/>
      <c r="J9" s="4" t="n"/>
      <c r="K9" s="4" t="n"/>
      <c r="L9" s="4" t="n">
        <v>18</v>
      </c>
      <c r="M9" s="4" t="n"/>
      <c r="N9" s="4" t="inlineStr">
        <is>
          <t>Closed</t>
        </is>
      </c>
      <c r="O9" s="4" t="inlineStr">
        <is>
          <t>Mostly rentals; expect to rise as cohort scales.</t>
        </is>
      </c>
    </row>
    <row r="10">
      <c r="A10" s="24" t="n">
        <v>46112</v>
      </c>
      <c r="B10" s="4" t="inlineStr">
        <is>
          <t>Institutional Connection</t>
        </is>
      </c>
      <c r="C10" s="4" t="inlineStr">
        <is>
          <t>Rutgers New Brunswick</t>
        </is>
      </c>
      <c r="D10" s="4" t="n"/>
      <c r="E10" s="4" t="n"/>
      <c r="F10" s="4" t="n"/>
      <c r="G10" s="4" t="inlineStr">
        <is>
          <t>Education</t>
        </is>
      </c>
      <c r="H10" s="4" t="n"/>
      <c r="I10" s="4" t="n"/>
      <c r="J10" s="4" t="n"/>
      <c r="K10" s="4" t="n"/>
      <c r="L10" s="4" t="n"/>
      <c r="M10" s="4" t="n"/>
      <c r="N10" s="4" t="inlineStr">
        <is>
          <t>Active</t>
        </is>
      </c>
      <c r="O10" s="4" t="inlineStr">
        <is>
          <t>Joint research interest on food-as-medicine outcomes. Lead: Dr. Patel.</t>
        </is>
      </c>
    </row>
    <row r="11">
      <c r="A11" s="24" t="n">
        <v>46112</v>
      </c>
      <c r="B11" s="4" t="inlineStr">
        <is>
          <t>Purchase Order</t>
        </is>
      </c>
      <c r="C11" s="4" t="inlineStr">
        <is>
          <t>RWJBH Newark — Q1 PO</t>
        </is>
      </c>
      <c r="D11" s="25" t="n">
        <v>8500</v>
      </c>
      <c r="E11" s="24" t="n">
        <v>46023</v>
      </c>
      <c r="F11" s="24" t="n">
        <v>46112</v>
      </c>
      <c r="G11" s="4" t="inlineStr">
        <is>
          <t>Healthcare</t>
        </is>
      </c>
      <c r="H11" s="4" t="n"/>
      <c r="I11" s="4" t="n"/>
      <c r="J11" s="4" t="n"/>
      <c r="K11" s="4" t="n"/>
      <c r="L11" s="4" t="n"/>
      <c r="M11" s="4" t="n"/>
      <c r="N11" s="4" t="inlineStr">
        <is>
          <t>Closed</t>
        </is>
      </c>
      <c r="O11" s="4" t="inlineStr">
        <is>
          <t>First institutional PO.</t>
        </is>
      </c>
    </row>
    <row r="12">
      <c r="A12" s="24" t="n">
        <v>46134</v>
      </c>
      <c r="B12" s="4" t="inlineStr">
        <is>
          <t>Professional Development</t>
        </is>
      </c>
      <c r="C12" s="4" t="inlineStr">
        <is>
          <t>ServSafe Manager Cert — Director</t>
        </is>
      </c>
      <c r="D12" s="4" t="n"/>
      <c r="E12" s="4" t="n"/>
      <c r="F12" s="4" t="n"/>
      <c r="G12" s="4" t="n"/>
      <c r="H12" s="4" t="n"/>
      <c r="I12" s="4" t="n"/>
      <c r="J12" s="4" t="n"/>
      <c r="K12" s="4" t="inlineStr">
        <is>
          <t>ServSafe Manager Cert</t>
        </is>
      </c>
      <c r="L12" s="4" t="n"/>
      <c r="M12" s="4" t="n"/>
      <c r="N12" s="4" t="inlineStr">
        <is>
          <t>Closed</t>
        </is>
      </c>
      <c r="O12" s="4" t="inlineStr">
        <is>
          <t>Director ServSafe Manager Cert — passed.</t>
        </is>
      </c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2" customWidth="1" min="4" max="4"/>
    <col width="22" customWidth="1" min="5" max="5"/>
    <col width="24" customWidth="1" min="6" max="6"/>
    <col width="28" customWidth="1" min="7" max="7"/>
    <col width="12" customWidth="1" min="8" max="8"/>
    <col width="14" customWidth="1" min="9" max="9"/>
    <col width="22" customWidth="1" min="10" max="10"/>
    <col width="32" customWidth="1" min="11" max="11"/>
    <col width="14" customWidth="1" min="12" max="12"/>
    <col width="26" customWidth="1" min="13" max="13"/>
    <col width="26" customWidth="1" min="14" max="14"/>
    <col width="16" customWidth="1" min="15" max="15"/>
    <col width="14" customWidth="1" min="16" max="16"/>
    <col width="28" customWidth="1" min="17" max="17"/>
  </cols>
  <sheetData>
    <row r="1">
      <c r="A1" s="23" t="inlineStr">
        <is>
          <t>Back-end data tab. Populated by Power Query from the corresponding log workbook. Sample rows seeded so dashboards render. Replace via Data &gt; Get Data &gt; From Workbook — M code in docs/data_dictionary.md.</t>
        </is>
      </c>
    </row>
    <row r="3" ht="32" customHeight="1">
      <c r="A3" s="5" t="inlineStr">
        <is>
          <t>Date</t>
        </is>
      </c>
      <c r="B3" s="5" t="inlineStr">
        <is>
          <t>Reporting_Month</t>
        </is>
      </c>
      <c r="C3" s="5" t="inlineStr">
        <is>
          <t>Entered_By</t>
        </is>
      </c>
      <c r="D3" s="5" t="inlineStr">
        <is>
          <t>Farm_Name</t>
        </is>
      </c>
      <c r="E3" s="5" t="inlineStr">
        <is>
          <t>Farm_Location</t>
        </is>
      </c>
      <c r="F3" s="5" t="inlineStr">
        <is>
          <t>Farm_Contact</t>
        </is>
      </c>
      <c r="G3" s="5" t="inlineStr">
        <is>
          <t>Produce_Types</t>
        </is>
      </c>
      <c r="H3" s="5" t="inlineStr">
        <is>
          <t>Produce_lbs</t>
        </is>
      </c>
      <c r="I3" s="5" t="inlineStr">
        <is>
          <t>Produce_Value_$</t>
        </is>
      </c>
      <c r="J3" s="5" t="inlineStr">
        <is>
          <t>Origin_Region</t>
        </is>
      </c>
      <c r="K3" s="5" t="inlineStr">
        <is>
          <t>Distribution_Destinations</t>
        </is>
      </c>
      <c r="L3" s="5" t="inlineStr">
        <is>
          <t>Value_Added_Product</t>
        </is>
      </c>
      <c r="M3" s="5" t="inlineStr">
        <is>
          <t>Value_Added_Description</t>
        </is>
      </c>
      <c r="N3" s="5" t="inlineStr">
        <is>
          <t>Demographic_Race_Ethnicity</t>
        </is>
      </c>
      <c r="O3" s="5" t="inlineStr">
        <is>
          <t>Demographic_Gender</t>
        </is>
      </c>
      <c r="P3" s="5" t="inlineStr">
        <is>
          <t>Demographic_Age_Band</t>
        </is>
      </c>
      <c r="Q3" s="5" t="inlineStr">
        <is>
          <t>Notes</t>
        </is>
      </c>
    </row>
    <row r="4">
      <c r="A4" s="24" t="n">
        <v>46115</v>
      </c>
      <c r="B4" s="4" t="inlineStr">
        <is>
          <t>March 2026</t>
        </is>
      </c>
      <c r="C4" s="4" t="inlineStr">
        <is>
          <t>A. Capece (Director)</t>
        </is>
      </c>
      <c r="D4" s="4" t="inlineStr">
        <is>
          <t>Greenfields Farm</t>
        </is>
      </c>
      <c r="E4" s="4" t="inlineStr">
        <is>
          <t>Sussex County, NJ</t>
        </is>
      </c>
      <c r="F4" s="4" t="inlineStr">
        <is>
          <t>rowens@greenfields.example</t>
        </is>
      </c>
      <c r="G4" s="4" t="inlineStr">
        <is>
          <t>kale; collards; turnips</t>
        </is>
      </c>
      <c r="H4" s="4" t="n">
        <v>480</v>
      </c>
      <c r="I4" s="25" t="n">
        <v>1200</v>
      </c>
      <c r="J4" s="4" t="inlineStr">
        <is>
          <t>Sussex County, NJ</t>
        </is>
      </c>
      <c r="K4" s="4" t="inlineStr">
        <is>
          <t>RWJBH Newark cafeteria; Bridges</t>
        </is>
      </c>
      <c r="L4" s="4" t="inlineStr">
        <is>
          <t>No</t>
        </is>
      </c>
      <c r="M4" s="4" t="n"/>
      <c r="N4" s="4" t="inlineStr">
        <is>
          <t>Black/African American</t>
        </is>
      </c>
      <c r="O4" s="4" t="inlineStr">
        <is>
          <t>Man</t>
        </is>
      </c>
      <c r="P4" s="4" t="inlineStr">
        <is>
          <t>45-54</t>
        </is>
      </c>
      <c r="Q4" s="4" t="n"/>
    </row>
    <row r="5">
      <c r="A5" s="24" t="n">
        <v>46115</v>
      </c>
      <c r="B5" s="4" t="inlineStr">
        <is>
          <t>March 2026</t>
        </is>
      </c>
      <c r="C5" s="4" t="inlineStr">
        <is>
          <t>A. Capece (Director)</t>
        </is>
      </c>
      <c r="D5" s="4" t="inlineStr">
        <is>
          <t>Sunrise Acres</t>
        </is>
      </c>
      <c r="E5" s="4" t="inlineStr">
        <is>
          <t>Hunterdon County, NJ</t>
        </is>
      </c>
      <c r="F5" s="4" t="inlineStr">
        <is>
          <t>info@sunriseacres.example</t>
        </is>
      </c>
      <c r="G5" s="4" t="inlineStr">
        <is>
          <t>tomatoes; peppers</t>
        </is>
      </c>
      <c r="H5" s="4" t="n">
        <v>320</v>
      </c>
      <c r="I5" s="25" t="n">
        <v>980</v>
      </c>
      <c r="J5" s="4" t="inlineStr">
        <is>
          <t>Hunterdon County, NJ</t>
        </is>
      </c>
      <c r="K5" s="4" t="inlineStr">
        <is>
          <t>Newark Public Schools pilot</t>
        </is>
      </c>
      <c r="L5" s="4" t="inlineStr">
        <is>
          <t>Yes</t>
        </is>
      </c>
      <c r="M5" s="4" t="inlineStr">
        <is>
          <t>Pepper hot sauce — Newark Eats LLC</t>
        </is>
      </c>
      <c r="N5" s="4" t="inlineStr">
        <is>
          <t>Hispanic/Latino</t>
        </is>
      </c>
      <c r="O5" s="4" t="inlineStr">
        <is>
          <t>Woman</t>
        </is>
      </c>
      <c r="P5" s="4" t="inlineStr">
        <is>
          <t>35-44</t>
        </is>
      </c>
      <c r="Q5" s="4" t="inlineStr">
        <is>
          <t>Value-added through Newark Eats LLC.</t>
        </is>
      </c>
    </row>
    <row r="6">
      <c r="A6" s="24" t="n">
        <v>46144</v>
      </c>
      <c r="B6" s="4" t="inlineStr">
        <is>
          <t>April 2026</t>
        </is>
      </c>
      <c r="C6" s="4" t="inlineStr">
        <is>
          <t>A. Capece (Director)</t>
        </is>
      </c>
      <c r="D6" s="4" t="inlineStr">
        <is>
          <t>Liberty Roots</t>
        </is>
      </c>
      <c r="E6" s="4" t="inlineStr">
        <is>
          <t>Essex County, NJ</t>
        </is>
      </c>
      <c r="F6" s="4" t="inlineStr">
        <is>
          <t>liberty@roots.example</t>
        </is>
      </c>
      <c r="G6" s="4" t="inlineStr">
        <is>
          <t>salad greens; radishes</t>
        </is>
      </c>
      <c r="H6" s="4" t="n">
        <v>210</v>
      </c>
      <c r="I6" s="25" t="n">
        <v>640</v>
      </c>
      <c r="J6" s="4" t="inlineStr">
        <is>
          <t>Essex County, NJ</t>
        </is>
      </c>
      <c r="K6" s="4" t="inlineStr">
        <is>
          <t>RWJBH Newark cafeteria</t>
        </is>
      </c>
      <c r="L6" s="4" t="inlineStr">
        <is>
          <t>No</t>
        </is>
      </c>
      <c r="M6" s="4" t="n"/>
      <c r="N6" s="4" t="inlineStr">
        <is>
          <t>Black/African American</t>
        </is>
      </c>
      <c r="O6" s="4" t="inlineStr">
        <is>
          <t>Woman</t>
        </is>
      </c>
      <c r="P6" s="4" t="inlineStr">
        <is>
          <t>25-34</t>
        </is>
      </c>
      <c r="Q6" s="4" t="inlineStr">
        <is>
          <t>New farmer this period.</t>
        </is>
      </c>
    </row>
    <row r="7">
      <c r="A7" s="24" t="n">
        <v>46144</v>
      </c>
      <c r="B7" s="4" t="inlineStr">
        <is>
          <t>April 2026</t>
        </is>
      </c>
      <c r="C7" s="4" t="inlineStr">
        <is>
          <t>A. Capece (Director)</t>
        </is>
      </c>
      <c r="D7" s="4" t="inlineStr">
        <is>
          <t>Hudson Hill Farm</t>
        </is>
      </c>
      <c r="E7" s="4" t="inlineStr">
        <is>
          <t>Warren County, NJ</t>
        </is>
      </c>
      <c r="F7" s="4" t="inlineStr">
        <is>
          <t>hudson@hill.example</t>
        </is>
      </c>
      <c r="G7" s="4" t="inlineStr">
        <is>
          <t>carrots; beets; squash</t>
        </is>
      </c>
      <c r="H7" s="4" t="n">
        <v>540</v>
      </c>
      <c r="I7" s="25" t="n">
        <v>1450</v>
      </c>
      <c r="J7" s="4" t="inlineStr">
        <is>
          <t>Warren County, NJ</t>
        </is>
      </c>
      <c r="K7" s="4" t="inlineStr">
        <is>
          <t>Bridges; Newark Public Schools pilot</t>
        </is>
      </c>
      <c r="L7" s="4" t="inlineStr">
        <is>
          <t>No</t>
        </is>
      </c>
      <c r="M7" s="4" t="n"/>
      <c r="N7" s="4" t="inlineStr">
        <is>
          <t>White</t>
        </is>
      </c>
      <c r="O7" s="4" t="inlineStr">
        <is>
          <t>Man</t>
        </is>
      </c>
      <c r="P7" s="4" t="inlineStr">
        <is>
          <t>55-64</t>
        </is>
      </c>
      <c r="Q7" s="4" t="n"/>
    </row>
  </sheetData>
  <mergeCells count="1">
    <mergeCell ref="A1:Q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2026-05-26T13:47:03Z</dcterms:created>
  <dcterms:modified xsi:type="dcterms:W3CDTF">2026-05-26T13:47:03Z</dcterms:modified>
</cp:coreProperties>
</file>